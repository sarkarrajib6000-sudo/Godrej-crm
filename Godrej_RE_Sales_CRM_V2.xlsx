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ead Management" sheetId="2" state="visible" r:id="rId4"/>
    <sheet name="Executive Performance" sheetId="3" state="visible" r:id="rId5"/>
    <sheet name="Booking Management" sheetId="4" state="visible" r:id="rId6"/>
    <sheet name="Payment Tracker" sheetId="5" state="visible" r:id="rId7"/>
    <sheet name="Site Visit Management" sheetId="6" state="visible" r:id="rId8"/>
    <sheet name="Channel Partner Performance" sheetId="7" state="visible" r:id="rId9"/>
    <sheet name="Follow-up Automation" sheetId="8" state="visible" r:id="rId10"/>
    <sheet name="Key Insights" sheetId="9" state="visible" r:id="rId11"/>
    <sheet name="Lead Aging Analysis" sheetId="10" state="visible" r:id="rId12"/>
    <sheet name="Target vs Achievement" sheetId="11" state="visible" r:id="rId13"/>
    <sheet name="Source ROI Analysis" sheetId="12" state="visible" r:id="rId14"/>
    <sheet name="Revenue Forecast" sheetId="13" state="visible" r:id="rId15"/>
    <sheet name="Pivot Data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<sst xmlns="http://schemas.openxmlformats.org/spreadsheetml/2006/main" count="10747" uniqueCount="2247">
  <si>
    <t xml:space="preserve">GODREJ PROPERTIES</t>
  </si>
  <si>
    <t xml:space="preserve">REAL ESTATE SALES AUTOMATION SYSTEM  |  ASM COMMAND CENTER  |  FY 2024-25</t>
  </si>
  <si>
    <t xml:space="preserve">Live Dashboard  ·  22 June 2026  ·  Area Sales Manager View  ·  All Figures in ₹</t>
  </si>
  <si>
    <t xml:space="preserve">  KEY PERFORMANCE INDICATORS</t>
  </si>
  <si>
    <t xml:space="preserve">📋 TOTAL LEADS</t>
  </si>
  <si>
    <t xml:space="preserve">🏗️ SITE VISITS</t>
  </si>
  <si>
    <t xml:space="preserve">✅ BOOKINGS</t>
  </si>
  <si>
    <t xml:space="preserve">💰 REVENUE</t>
  </si>
  <si>
    <t xml:space="preserve">🎯 CONVERSION</t>
  </si>
  <si>
    <t xml:space="preserve">⚠️ OUTSTANDING</t>
  </si>
  <si>
    <t xml:space="preserve">500</t>
  </si>
  <si>
    <t xml:space="preserve">281</t>
  </si>
  <si>
    <t xml:space="preserve">85</t>
  </si>
  <si>
    <t xml:space="preserve">₹122.7 Cr</t>
  </si>
  <si>
    <t xml:space="preserve">17.0%</t>
  </si>
  <si>
    <t xml:space="preserve">₹48.9 Cr</t>
  </si>
  <si>
    <t xml:space="preserve">All Sources · FY 2024-25</t>
  </si>
  <si>
    <t xml:space="preserve">Completed &amp; Scheduled</t>
  </si>
  <si>
    <t xml:space="preserve">Confirmed Transactions</t>
  </si>
  <si>
    <t xml:space="preserve">Total Property Sales Value</t>
  </si>
  <si>
    <t xml:space="preserve">Lead to Booking Ratio</t>
  </si>
  <si>
    <t xml:space="preserve">Pending Collections</t>
  </si>
  <si>
    <t xml:space="preserve">  PERFORMANCE METRICS</t>
  </si>
  <si>
    <t xml:space="preserve">Avg Deal Size</t>
  </si>
  <si>
    <t xml:space="preserve">Active Pipeline</t>
  </si>
  <si>
    <t xml:space="preserve">Lost Leads</t>
  </si>
  <si>
    <t xml:space="preserve">Overdue Follow-ups</t>
  </si>
  <si>
    <t xml:space="preserve">Site Visit Ratio</t>
  </si>
  <si>
    <t xml:space="preserve">Booking Rate</t>
  </si>
  <si>
    <t xml:space="preserve">₹144L</t>
  </si>
  <si>
    <t xml:space="preserve">368 Leads</t>
  </si>
  <si>
    <t xml:space="preserve">47</t>
  </si>
  <si>
    <t xml:space="preserve">128</t>
  </si>
  <si>
    <t xml:space="preserve">56.2%</t>
  </si>
  <si>
    <t xml:space="preserve">30.2%</t>
  </si>
  <si>
    <t xml:space="preserve">  📈 MONTHLY REVENUE &amp; BOOKING TREND</t>
  </si>
  <si>
    <t xml:space="preserve">  🎯 SALES FUNNEL ANALYSIS</t>
  </si>
  <si>
    <t xml:space="preserve">  🌐 LEAD SOURCE BREAKDOWN</t>
  </si>
  <si>
    <t xml:space="preserve">  🏗️ PROJECT-WISE REVENUE</t>
  </si>
  <si>
    <t xml:space="preserve">  🏆 EXECUTIVE PERFORMANCE RANKING</t>
  </si>
  <si>
    <t xml:space="preserve">  📅 MONTHLY BOOKING TREND</t>
  </si>
  <si>
    <t xml:space="preserve">GODREJ PROPERTIES — REAL ESTATE SALES AUTOMATION SYSTEM  |  CONFIDENTIAL — FOR INTERNAL USE ONLY
Area Sales Manager Dashboard  |  All Figures in Indian Rupees (₹)  |  FY 2024-25
Generated: 22 June 2026  |  Designed by: CRM &amp; Sales Operations Team</t>
  </si>
  <si>
    <t xml:space="preserve">  🎯  TARGET vs ACHIEVEMENT TRACKER  |  FY 2024-25</t>
  </si>
  <si>
    <t xml:space="preserve">Monthly targets vs actuals  |  Color coded: Green = On/Above Target  |  Red = Below Target</t>
  </si>
  <si>
    <t xml:space="preserve">Month</t>
  </si>
  <si>
    <t xml:space="preserve">Lead Target</t>
  </si>
  <si>
    <t xml:space="preserve">Leads Actual</t>
  </si>
  <si>
    <t xml:space="preserve">Lead Ach%</t>
  </si>
  <si>
    <t xml:space="preserve">Booking Target</t>
  </si>
  <si>
    <t xml:space="preserve">Bookings Actual</t>
  </si>
  <si>
    <t xml:space="preserve">Booking Ach%</t>
  </si>
  <si>
    <t xml:space="preserve">Rev Target (₹Cr)</t>
  </si>
  <si>
    <t xml:space="preserve">Rev Actual (₹Cr)</t>
  </si>
  <si>
    <t xml:space="preserve">Rev Ach%</t>
  </si>
  <si>
    <t xml:space="preserve">Apr 24</t>
  </si>
  <si>
    <t xml:space="preserve">May 24</t>
  </si>
  <si>
    <t xml:space="preserve">Jun 24</t>
  </si>
  <si>
    <t xml:space="preserve">Jul 24</t>
  </si>
  <si>
    <t xml:space="preserve">Aug 24</t>
  </si>
  <si>
    <t xml:space="preserve">Sep 24</t>
  </si>
  <si>
    <t xml:space="preserve">Oct 24</t>
  </si>
  <si>
    <t xml:space="preserve">Nov 24</t>
  </si>
  <si>
    <t xml:space="preserve">Dec 24</t>
  </si>
  <si>
    <t xml:space="preserve">Jan 25</t>
  </si>
  <si>
    <t xml:space="preserve">Feb 25</t>
  </si>
  <si>
    <t xml:space="preserve">Mar 25</t>
  </si>
  <si>
    <t xml:space="preserve">FY TOTAL</t>
  </si>
  <si>
    <t xml:space="preserve">GODREJ PROPERTIES — REAL ESTATE SALES AUTOMATION SYSTEM  |  CONFIDENTIAL — FOR INTERNAL USE ONLY
Area Sales Manager Dashboard  |  Formulas: XLOOKUP, INDEX-MATCH, SUMIFS, COUNTIFS, IFERROR, IF, TEXT, EOMONTH
Generated: 22 June 2026  |  CRM &amp; Sales Operations  |  FY 2024-25</t>
  </si>
  <si>
    <t xml:space="preserve">🏢  GODREJ PROPERTIES — LEAD MANAGEMENT REGISTER  |  500 Records  |  FY 2024-25</t>
  </si>
  <si>
    <t xml:space="preserve">Real Estate Sales CRM  |  Auto-Tracking: Status, Follow-ups, Overdue Alerts  |  Updated: 22 Jun 2026</t>
  </si>
  <si>
    <t xml:space="preserve">Lead ID</t>
  </si>
  <si>
    <t xml:space="preserve">Lead Date</t>
  </si>
  <si>
    <t xml:space="preserve">Customer Name</t>
  </si>
  <si>
    <t xml:space="preserve">Mobile Number</t>
  </si>
  <si>
    <t xml:space="preserve">City</t>
  </si>
  <si>
    <t xml:space="preserve">Budget (₹)</t>
  </si>
  <si>
    <t xml:space="preserve">Project</t>
  </si>
  <si>
    <t xml:space="preserve">Unit Type</t>
  </si>
  <si>
    <t xml:space="preserve">Lead Source</t>
  </si>
  <si>
    <t xml:space="preserve">Assigned Executive</t>
  </si>
  <si>
    <t xml:space="preserve">Lead Status</t>
  </si>
  <si>
    <t xml:space="preserve">Last Call</t>
  </si>
  <si>
    <t xml:space="preserve">Next Follow-up</t>
  </si>
  <si>
    <t xml:space="preserve">Days Until F/U</t>
  </si>
  <si>
    <t xml:space="preserve">Reminder</t>
  </si>
  <si>
    <t xml:space="preserve">Channel Partner</t>
  </si>
  <si>
    <t xml:space="preserve">LD0001</t>
  </si>
  <si>
    <t xml:space="preserve">Pooja Patel</t>
  </si>
  <si>
    <t xml:space="preserve">+91-8382514165</t>
  </si>
  <si>
    <t xml:space="preserve">Thane</t>
  </si>
  <si>
    <t xml:space="preserve">Godrej Summit</t>
  </si>
  <si>
    <t xml:space="preserve">2BHK</t>
  </si>
  <si>
    <t xml:space="preserve">Facebook</t>
  </si>
  <si>
    <t xml:space="preserve">Priyanka Sharma</t>
  </si>
  <si>
    <t xml:space="preserve">Negotiation</t>
  </si>
  <si>
    <t xml:space="preserve">On Track</t>
  </si>
  <si>
    <t xml:space="preserve">LD0002</t>
  </si>
  <si>
    <t xml:space="preserve">Priya Joshi</t>
  </si>
  <si>
    <t xml:space="preserve">+91-7722368878</t>
  </si>
  <si>
    <t xml:space="preserve">Hyderabad</t>
  </si>
  <si>
    <t xml:space="preserve">Godrej Azure</t>
  </si>
  <si>
    <t xml:space="preserve">4BHK</t>
  </si>
  <si>
    <t xml:space="preserve">Website</t>
  </si>
  <si>
    <t xml:space="preserve">Ravi Kumar</t>
  </si>
  <si>
    <t xml:space="preserve">Follow-up</t>
  </si>
  <si>
    <t xml:space="preserve">LD0003</t>
  </si>
  <si>
    <t xml:space="preserve">Girish Choudhary</t>
  </si>
  <si>
    <t xml:space="preserve">+91-8244922676</t>
  </si>
  <si>
    <t xml:space="preserve">Mumbai</t>
  </si>
  <si>
    <t xml:space="preserve">Godrej Infinity</t>
  </si>
  <si>
    <t xml:space="preserve">Penthouse</t>
  </si>
  <si>
    <t xml:space="preserve">Google Ads</t>
  </si>
  <si>
    <t xml:space="preserve">Karan Singh</t>
  </si>
  <si>
    <t xml:space="preserve">OVERDUE</t>
  </si>
  <si>
    <t xml:space="preserve">LD0004</t>
  </si>
  <si>
    <t xml:space="preserve">Geeta Mukherjee</t>
  </si>
  <si>
    <t xml:space="preserve">+91-9717792397</t>
  </si>
  <si>
    <t xml:space="preserve">Kolkata</t>
  </si>
  <si>
    <t xml:space="preserve">1BHK</t>
  </si>
  <si>
    <t xml:space="preserve">Referral</t>
  </si>
  <si>
    <t xml:space="preserve">New</t>
  </si>
  <si>
    <t xml:space="preserve">LD0005</t>
  </si>
  <si>
    <t xml:space="preserve">Sunil Srinivasan</t>
  </si>
  <si>
    <t xml:space="preserve">+91-8245546434</t>
  </si>
  <si>
    <t xml:space="preserve">Sneha Patel</t>
  </si>
  <si>
    <t xml:space="preserve">Booked</t>
  </si>
  <si>
    <t xml:space="preserve">LD0006</t>
  </si>
  <si>
    <t xml:space="preserve">Mohan Srinivasan</t>
  </si>
  <si>
    <t xml:space="preserve">+91-8750242087</t>
  </si>
  <si>
    <t xml:space="preserve">Bangalore</t>
  </si>
  <si>
    <t xml:space="preserve">Godrej Meridian</t>
  </si>
  <si>
    <t xml:space="preserve">3BHK</t>
  </si>
  <si>
    <t xml:space="preserve">Skyline Properties</t>
  </si>
  <si>
    <t xml:space="preserve">LD0007</t>
  </si>
  <si>
    <t xml:space="preserve">Arun Desai</t>
  </si>
  <si>
    <t xml:space="preserve">+91-9637951347</t>
  </si>
  <si>
    <t xml:space="preserve">Noida</t>
  </si>
  <si>
    <t xml:space="preserve">Walk-in</t>
  </si>
  <si>
    <t xml:space="preserve">LD0008</t>
  </si>
  <si>
    <t xml:space="preserve">Santosh Choudhary</t>
  </si>
  <si>
    <t xml:space="preserve">+91-7867928301</t>
  </si>
  <si>
    <t xml:space="preserve">Pune</t>
  </si>
  <si>
    <t xml:space="preserve">Sunita Verma</t>
  </si>
  <si>
    <t xml:space="preserve">Site Visit Scheduled</t>
  </si>
  <si>
    <t xml:space="preserve">LD0009</t>
  </si>
  <si>
    <t xml:space="preserve">Rohit Chopra</t>
  </si>
  <si>
    <t xml:space="preserve">+91-8617121915</t>
  </si>
  <si>
    <t xml:space="preserve">Ahmedabad</t>
  </si>
  <si>
    <t xml:space="preserve">Pooja Gupta</t>
  </si>
  <si>
    <t xml:space="preserve">LD0010</t>
  </si>
  <si>
    <t xml:space="preserve">Neha Reddy</t>
  </si>
  <si>
    <t xml:space="preserve">+91-7823882512</t>
  </si>
  <si>
    <t xml:space="preserve">LD0011</t>
  </si>
  <si>
    <t xml:space="preserve">Rahul Reddy</t>
  </si>
  <si>
    <t xml:space="preserve">+91-9869944522</t>
  </si>
  <si>
    <t xml:space="preserve">Navi Mumbai</t>
  </si>
  <si>
    <t xml:space="preserve">LD0012</t>
  </si>
  <si>
    <t xml:space="preserve">Usha Mehta</t>
  </si>
  <si>
    <t xml:space="preserve">+91-8767479514</t>
  </si>
  <si>
    <t xml:space="preserve">Godrej Reserve</t>
  </si>
  <si>
    <t xml:space="preserve">Property Portal</t>
  </si>
  <si>
    <t xml:space="preserve">Site Visit Completed</t>
  </si>
  <si>
    <t xml:space="preserve">LD0013</t>
  </si>
  <si>
    <t xml:space="preserve">Rahul Taneja</t>
  </si>
  <si>
    <t xml:space="preserve">+91-7280673699</t>
  </si>
  <si>
    <t xml:space="preserve">Delhi</t>
  </si>
  <si>
    <t xml:space="preserve">Godrej Esteem</t>
  </si>
  <si>
    <t xml:space="preserve">LD0014</t>
  </si>
  <si>
    <t xml:space="preserve">Suresh Bedi</t>
  </si>
  <si>
    <t xml:space="preserve">+91-8767136365</t>
  </si>
  <si>
    <t xml:space="preserve">Rahul Nair</t>
  </si>
  <si>
    <t xml:space="preserve">LD0015</t>
  </si>
  <si>
    <t xml:space="preserve">Aditya Venkatesh</t>
  </si>
  <si>
    <t xml:space="preserve">+91-7068987110</t>
  </si>
  <si>
    <t xml:space="preserve">3BHK+Study</t>
  </si>
  <si>
    <t xml:space="preserve">LD0016</t>
  </si>
  <si>
    <t xml:space="preserve">Dinesh Agarwal</t>
  </si>
  <si>
    <t xml:space="preserve">+91-7912597684</t>
  </si>
  <si>
    <t xml:space="preserve">Arjun Mehta</t>
  </si>
  <si>
    <t xml:space="preserve">Prime Location Brokers</t>
  </si>
  <si>
    <t xml:space="preserve">LD0017</t>
  </si>
  <si>
    <t xml:space="preserve">Harish Verma</t>
  </si>
  <si>
    <t xml:space="preserve">+91-7309022704</t>
  </si>
  <si>
    <t xml:space="preserve">LD0018</t>
  </si>
  <si>
    <t xml:space="preserve">Ravi Mukherjee</t>
  </si>
  <si>
    <t xml:space="preserve">+91-9386254473</t>
  </si>
  <si>
    <t xml:space="preserve">Godrej Horizon</t>
  </si>
  <si>
    <t xml:space="preserve">Elite Property Group</t>
  </si>
  <si>
    <t xml:space="preserve">LD0019</t>
  </si>
  <si>
    <t xml:space="preserve">Vijay Banerjee</t>
  </si>
  <si>
    <t xml:space="preserve">+91-8452082132</t>
  </si>
  <si>
    <t xml:space="preserve">Amit Joshi</t>
  </si>
  <si>
    <t xml:space="preserve">LD0020</t>
  </si>
  <si>
    <t xml:space="preserve">Vijay Singh</t>
  </si>
  <si>
    <t xml:space="preserve">+91-9833262565</t>
  </si>
  <si>
    <t xml:space="preserve">Godrej Prime</t>
  </si>
  <si>
    <t xml:space="preserve">LD0021</t>
  </si>
  <si>
    <t xml:space="preserve">Neha Rao</t>
  </si>
  <si>
    <t xml:space="preserve">+91-7622248890</t>
  </si>
  <si>
    <t xml:space="preserve">LD0022</t>
  </si>
  <si>
    <t xml:space="preserve">Sanjay Singh</t>
  </si>
  <si>
    <t xml:space="preserve">+91-7186376562</t>
  </si>
  <si>
    <t xml:space="preserve">LD0023</t>
  </si>
  <si>
    <t xml:space="preserve">Anjali Mehta</t>
  </si>
  <si>
    <t xml:space="preserve">+91-8948115209</t>
  </si>
  <si>
    <t xml:space="preserve">Lost</t>
  </si>
  <si>
    <t xml:space="preserve">LD0024</t>
  </si>
  <si>
    <t xml:space="preserve">Sunil Joshi</t>
  </si>
  <si>
    <t xml:space="preserve">+91-8498251441</t>
  </si>
  <si>
    <t xml:space="preserve">Divya Reddy</t>
  </si>
  <si>
    <t xml:space="preserve">Heritage Homes</t>
  </si>
  <si>
    <t xml:space="preserve">LD0025</t>
  </si>
  <si>
    <t xml:space="preserve">Suresh Sharma</t>
  </si>
  <si>
    <t xml:space="preserve">+91-8210847353</t>
  </si>
  <si>
    <t xml:space="preserve">Gurgaon</t>
  </si>
  <si>
    <t xml:space="preserve">LD0026</t>
  </si>
  <si>
    <t xml:space="preserve">Arun Bhat</t>
  </si>
  <si>
    <t xml:space="preserve">+91-7339427601</t>
  </si>
  <si>
    <t xml:space="preserve">LD0027</t>
  </si>
  <si>
    <t xml:space="preserve">Kavita Reddy</t>
  </si>
  <si>
    <t xml:space="preserve">+91-8600842914</t>
  </si>
  <si>
    <t xml:space="preserve">LD0028</t>
  </si>
  <si>
    <t xml:space="preserve">Neha Joshi</t>
  </si>
  <si>
    <t xml:space="preserve">+91-9428867912</t>
  </si>
  <si>
    <t xml:space="preserve">LD0029</t>
  </si>
  <si>
    <t xml:space="preserve">Dinesh Hegde</t>
  </si>
  <si>
    <t xml:space="preserve">+91-8408326704</t>
  </si>
  <si>
    <t xml:space="preserve">LD0030</t>
  </si>
  <si>
    <t xml:space="preserve">Amit Pandey</t>
  </si>
  <si>
    <t xml:space="preserve">+91-7775731299</t>
  </si>
  <si>
    <t xml:space="preserve">LD0031</t>
  </si>
  <si>
    <t xml:space="preserve">Deepa Naidu</t>
  </si>
  <si>
    <t xml:space="preserve">+91-9580024168</t>
  </si>
  <si>
    <t xml:space="preserve">LD0032</t>
  </si>
  <si>
    <t xml:space="preserve">Divya Gupta</t>
  </si>
  <si>
    <t xml:space="preserve">+91-9162735313</t>
  </si>
  <si>
    <t xml:space="preserve">LD0033</t>
  </si>
  <si>
    <t xml:space="preserve">Santosh Bose</t>
  </si>
  <si>
    <t xml:space="preserve">+91-9873844237</t>
  </si>
  <si>
    <t xml:space="preserve">Chennai</t>
  </si>
  <si>
    <t xml:space="preserve">Urban Nest Advisors</t>
  </si>
  <si>
    <t xml:space="preserve">LD0034</t>
  </si>
  <si>
    <t xml:space="preserve">Deepa Sethi</t>
  </si>
  <si>
    <t xml:space="preserve">+91-8675825157</t>
  </si>
  <si>
    <t xml:space="preserve">LD0035</t>
  </si>
  <si>
    <t xml:space="preserve">Divya Arora</t>
  </si>
  <si>
    <t xml:space="preserve">+91-8413219171</t>
  </si>
  <si>
    <t xml:space="preserve">LD0036</t>
  </si>
  <si>
    <t xml:space="preserve">Naveen Grover</t>
  </si>
  <si>
    <t xml:space="preserve">+91-7968882667</t>
  </si>
  <si>
    <t xml:space="preserve">LD0037</t>
  </si>
  <si>
    <t xml:space="preserve">Rajesh Shah</t>
  </si>
  <si>
    <t xml:space="preserve">+91-7995747606</t>
  </si>
  <si>
    <t xml:space="preserve">LD0038</t>
  </si>
  <si>
    <t xml:space="preserve">Sanjay Hegde</t>
  </si>
  <si>
    <t xml:space="preserve">+91-8689097012</t>
  </si>
  <si>
    <t xml:space="preserve">LD0039</t>
  </si>
  <si>
    <t xml:space="preserve">Sunil Bose</t>
  </si>
  <si>
    <t xml:space="preserve">+91-9003019545</t>
  </si>
  <si>
    <t xml:space="preserve">LD0040</t>
  </si>
  <si>
    <t xml:space="preserve">Mohan Naidu</t>
  </si>
  <si>
    <t xml:space="preserve">+91-9550765724</t>
  </si>
  <si>
    <t xml:space="preserve">LD0041</t>
  </si>
  <si>
    <t xml:space="preserve">Meera Mehta</t>
  </si>
  <si>
    <t xml:space="preserve">+91-8951151588</t>
  </si>
  <si>
    <t xml:space="preserve">LD0042</t>
  </si>
  <si>
    <t xml:space="preserve">Anita Grover</t>
  </si>
  <si>
    <t xml:space="preserve">+91-8587992149</t>
  </si>
  <si>
    <t xml:space="preserve">LD0043</t>
  </si>
  <si>
    <t xml:space="preserve">Rohit Choudhary</t>
  </si>
  <si>
    <t xml:space="preserve">+91-7494240311</t>
  </si>
  <si>
    <t xml:space="preserve">LD0044</t>
  </si>
  <si>
    <t xml:space="preserve">Divya Iyer</t>
  </si>
  <si>
    <t xml:space="preserve">+91-9729265069</t>
  </si>
  <si>
    <t xml:space="preserve">LD0045</t>
  </si>
  <si>
    <t xml:space="preserve">Divya Sethi</t>
  </si>
  <si>
    <t xml:space="preserve">+91-8763681582</t>
  </si>
  <si>
    <t xml:space="preserve">LD0046</t>
  </si>
  <si>
    <t xml:space="preserve">Vani Agarwal</t>
  </si>
  <si>
    <t xml:space="preserve">+91-7418291560</t>
  </si>
  <si>
    <t xml:space="preserve">LD0047</t>
  </si>
  <si>
    <t xml:space="preserve">Poonam Patel</t>
  </si>
  <si>
    <t xml:space="preserve">+91-8242252906</t>
  </si>
  <si>
    <t xml:space="preserve">LD0048</t>
  </si>
  <si>
    <t xml:space="preserve">Sanjay Desai</t>
  </si>
  <si>
    <t xml:space="preserve">+91-9454480702</t>
  </si>
  <si>
    <t xml:space="preserve">LD0049</t>
  </si>
  <si>
    <t xml:space="preserve">Neha Mukherjee</t>
  </si>
  <si>
    <t xml:space="preserve">+91-7499341266</t>
  </si>
  <si>
    <t xml:space="preserve">LD0050</t>
  </si>
  <si>
    <t xml:space="preserve">Rajesh Jain</t>
  </si>
  <si>
    <t xml:space="preserve">+91-9450825012</t>
  </si>
  <si>
    <t xml:space="preserve">LD0051</t>
  </si>
  <si>
    <t xml:space="preserve">Arun Pandey</t>
  </si>
  <si>
    <t xml:space="preserve">+91-9284549529</t>
  </si>
  <si>
    <t xml:space="preserve">LD0052</t>
  </si>
  <si>
    <t xml:space="preserve">Vani Reddy</t>
  </si>
  <si>
    <t xml:space="preserve">+91-9783865057</t>
  </si>
  <si>
    <t xml:space="preserve">LD0053</t>
  </si>
  <si>
    <t xml:space="preserve">Harish Nair</t>
  </si>
  <si>
    <t xml:space="preserve">+91-8523267091</t>
  </si>
  <si>
    <t xml:space="preserve">Metro Housing Services</t>
  </si>
  <si>
    <t xml:space="preserve">LD0054</t>
  </si>
  <si>
    <t xml:space="preserve">+91-8102313761</t>
  </si>
  <si>
    <t xml:space="preserve">LD0055</t>
  </si>
  <si>
    <t xml:space="preserve">Harish Das</t>
  </si>
  <si>
    <t xml:space="preserve">+91-7033277715</t>
  </si>
  <si>
    <t xml:space="preserve">LD0056</t>
  </si>
  <si>
    <t xml:space="preserve">Kiran Joshi</t>
  </si>
  <si>
    <t xml:space="preserve">+91-9598212260</t>
  </si>
  <si>
    <t xml:space="preserve">LD0057</t>
  </si>
  <si>
    <t xml:space="preserve">Anjali Tiwari</t>
  </si>
  <si>
    <t xml:space="preserve">+91-8394282140</t>
  </si>
  <si>
    <t xml:space="preserve">LD0058</t>
  </si>
  <si>
    <t xml:space="preserve">Naveen Mukherjee</t>
  </si>
  <si>
    <t xml:space="preserve">+91-9434280236</t>
  </si>
  <si>
    <t xml:space="preserve">LD0059</t>
  </si>
  <si>
    <t xml:space="preserve">Deepa Shah</t>
  </si>
  <si>
    <t xml:space="preserve">+91-8182533519</t>
  </si>
  <si>
    <t xml:space="preserve">LD0060</t>
  </si>
  <si>
    <t xml:space="preserve">Aditya Sharma</t>
  </si>
  <si>
    <t xml:space="preserve">+91-9859711607</t>
  </si>
  <si>
    <t xml:space="preserve">LD0061</t>
  </si>
  <si>
    <t xml:space="preserve">Shobha Tiwari</t>
  </si>
  <si>
    <t xml:space="preserve">+91-8313074454</t>
  </si>
  <si>
    <t xml:space="preserve">LD0062</t>
  </si>
  <si>
    <t xml:space="preserve">Suresh Arora</t>
  </si>
  <si>
    <t xml:space="preserve">+91-8828664548</t>
  </si>
  <si>
    <t xml:space="preserve">LD0063</t>
  </si>
  <si>
    <t xml:space="preserve">Vani Taneja</t>
  </si>
  <si>
    <t xml:space="preserve">+91-8863291399</t>
  </si>
  <si>
    <t xml:space="preserve">LD0064</t>
  </si>
  <si>
    <t xml:space="preserve">Neha Grover</t>
  </si>
  <si>
    <t xml:space="preserve">+91-8808719838</t>
  </si>
  <si>
    <t xml:space="preserve">LD0065</t>
  </si>
  <si>
    <t xml:space="preserve">Arun Sharma</t>
  </si>
  <si>
    <t xml:space="preserve">+91-7233240595</t>
  </si>
  <si>
    <t xml:space="preserve">LD0066</t>
  </si>
  <si>
    <t xml:space="preserve">Kavita Sethi</t>
  </si>
  <si>
    <t xml:space="preserve">+91-7195431747</t>
  </si>
  <si>
    <t xml:space="preserve">LD0067</t>
  </si>
  <si>
    <t xml:space="preserve">Aditya Taneja</t>
  </si>
  <si>
    <t xml:space="preserve">+91-8618067377</t>
  </si>
  <si>
    <t xml:space="preserve">LD0068</t>
  </si>
  <si>
    <t xml:space="preserve">Anjali Taneja</t>
  </si>
  <si>
    <t xml:space="preserve">+91-9505998117</t>
  </si>
  <si>
    <t xml:space="preserve">LD0069</t>
  </si>
  <si>
    <t xml:space="preserve">Manoj Arora</t>
  </si>
  <si>
    <t xml:space="preserve">+91-7298971605</t>
  </si>
  <si>
    <t xml:space="preserve">LD0070</t>
  </si>
  <si>
    <t xml:space="preserve">Geeta Naidu</t>
  </si>
  <si>
    <t xml:space="preserve">+91-8312282102</t>
  </si>
  <si>
    <t xml:space="preserve">LD0071</t>
  </si>
  <si>
    <t xml:space="preserve">Amit Desai</t>
  </si>
  <si>
    <t xml:space="preserve">+91-8354117104</t>
  </si>
  <si>
    <t xml:space="preserve">LD0072</t>
  </si>
  <si>
    <t xml:space="preserve">Kiran Kapoor</t>
  </si>
  <si>
    <t xml:space="preserve">+91-8435673532</t>
  </si>
  <si>
    <t xml:space="preserve">LD0073</t>
  </si>
  <si>
    <t xml:space="preserve">+91-9757124871</t>
  </si>
  <si>
    <t xml:space="preserve">LD0074</t>
  </si>
  <si>
    <t xml:space="preserve">Mohan Reddy</t>
  </si>
  <si>
    <t xml:space="preserve">+91-7798669871</t>
  </si>
  <si>
    <t xml:space="preserve">LD0075</t>
  </si>
  <si>
    <t xml:space="preserve">Dinesh Iyer</t>
  </si>
  <si>
    <t xml:space="preserve">+91-9688710336</t>
  </si>
  <si>
    <t xml:space="preserve">LD0076</t>
  </si>
  <si>
    <t xml:space="preserve">Sneha Pandey</t>
  </si>
  <si>
    <t xml:space="preserve">+91-8492052176</t>
  </si>
  <si>
    <t xml:space="preserve">LD0077</t>
  </si>
  <si>
    <t xml:space="preserve">Kiran Banerjee</t>
  </si>
  <si>
    <t xml:space="preserve">+91-8623014852</t>
  </si>
  <si>
    <t xml:space="preserve">LD0078</t>
  </si>
  <si>
    <t xml:space="preserve">Rajesh Malhotra</t>
  </si>
  <si>
    <t xml:space="preserve">+91-8343495823</t>
  </si>
  <si>
    <t xml:space="preserve">LD0079</t>
  </si>
  <si>
    <t xml:space="preserve">Sunita Kumar</t>
  </si>
  <si>
    <t xml:space="preserve">+91-9858680912</t>
  </si>
  <si>
    <t xml:space="preserve">LD0080</t>
  </si>
  <si>
    <t xml:space="preserve">Amit Grover</t>
  </si>
  <si>
    <t xml:space="preserve">+91-8453831805</t>
  </si>
  <si>
    <t xml:space="preserve">LD0081</t>
  </si>
  <si>
    <t xml:space="preserve">Aditya Patel</t>
  </si>
  <si>
    <t xml:space="preserve">+91-8854499364</t>
  </si>
  <si>
    <t xml:space="preserve">LD0082</t>
  </si>
  <si>
    <t xml:space="preserve">Deepa Rao</t>
  </si>
  <si>
    <t xml:space="preserve">+91-8511093611</t>
  </si>
  <si>
    <t xml:space="preserve">LD0083</t>
  </si>
  <si>
    <t xml:space="preserve">Kavita Desai</t>
  </si>
  <si>
    <t xml:space="preserve">+91-7980293746</t>
  </si>
  <si>
    <t xml:space="preserve">LD0084</t>
  </si>
  <si>
    <t xml:space="preserve">Ravi Pillai</t>
  </si>
  <si>
    <t xml:space="preserve">+91-8883548780</t>
  </si>
  <si>
    <t xml:space="preserve">LD0085</t>
  </si>
  <si>
    <t xml:space="preserve">+91-8989256179</t>
  </si>
  <si>
    <t xml:space="preserve">LD0086</t>
  </si>
  <si>
    <t xml:space="preserve">Meera Shah</t>
  </si>
  <si>
    <t xml:space="preserve">+91-7109385965</t>
  </si>
  <si>
    <t xml:space="preserve">LD0087</t>
  </si>
  <si>
    <t xml:space="preserve">Vivek Mishra</t>
  </si>
  <si>
    <t xml:space="preserve">+91-9993345720</t>
  </si>
  <si>
    <t xml:space="preserve">LD0088</t>
  </si>
  <si>
    <t xml:space="preserve">Arun Pillai</t>
  </si>
  <si>
    <t xml:space="preserve">+91-9818598647</t>
  </si>
  <si>
    <t xml:space="preserve">LD0089</t>
  </si>
  <si>
    <t xml:space="preserve">Santosh Chopra</t>
  </si>
  <si>
    <t xml:space="preserve">+91-9694893695</t>
  </si>
  <si>
    <t xml:space="preserve">LD0090</t>
  </si>
  <si>
    <t xml:space="preserve">Vivek Nair</t>
  </si>
  <si>
    <t xml:space="preserve">+91-7207193283</t>
  </si>
  <si>
    <t xml:space="preserve">LD0091</t>
  </si>
  <si>
    <t xml:space="preserve">Mohan Pandey</t>
  </si>
  <si>
    <t xml:space="preserve">+91-7769380457</t>
  </si>
  <si>
    <t xml:space="preserve">LD0092</t>
  </si>
  <si>
    <t xml:space="preserve">Rajesh Krishnan</t>
  </si>
  <si>
    <t xml:space="preserve">+91-9731874139</t>
  </si>
  <si>
    <t xml:space="preserve">LD0093</t>
  </si>
  <si>
    <t xml:space="preserve">Sunil Naidu</t>
  </si>
  <si>
    <t xml:space="preserve">+91-9246858147</t>
  </si>
  <si>
    <t xml:space="preserve">LD0094</t>
  </si>
  <si>
    <t xml:space="preserve">Poonam Mukherjee</t>
  </si>
  <si>
    <t xml:space="preserve">+91-7165753713</t>
  </si>
  <si>
    <t xml:space="preserve">LD0095</t>
  </si>
  <si>
    <t xml:space="preserve">Rohit Mishra</t>
  </si>
  <si>
    <t xml:space="preserve">+91-9537429340</t>
  </si>
  <si>
    <t xml:space="preserve">LD0096</t>
  </si>
  <si>
    <t xml:space="preserve">Vani Sharma</t>
  </si>
  <si>
    <t xml:space="preserve">+91-8173841186</t>
  </si>
  <si>
    <t xml:space="preserve">LD0097</t>
  </si>
  <si>
    <t xml:space="preserve">Girish Das</t>
  </si>
  <si>
    <t xml:space="preserve">+91-9549457453</t>
  </si>
  <si>
    <t xml:space="preserve">LD0098</t>
  </si>
  <si>
    <t xml:space="preserve">Usha Sethi</t>
  </si>
  <si>
    <t xml:space="preserve">+91-8500994323</t>
  </si>
  <si>
    <t xml:space="preserve">LD0099</t>
  </si>
  <si>
    <t xml:space="preserve">Priya Singh</t>
  </si>
  <si>
    <t xml:space="preserve">+91-8055489730</t>
  </si>
  <si>
    <t xml:space="preserve">LD0100</t>
  </si>
  <si>
    <t xml:space="preserve">+91-7966369469</t>
  </si>
  <si>
    <t xml:space="preserve">LD0101</t>
  </si>
  <si>
    <t xml:space="preserve">Usha Taneja</t>
  </si>
  <si>
    <t xml:space="preserve">+91-9910039949</t>
  </si>
  <si>
    <t xml:space="preserve">LD0102</t>
  </si>
  <si>
    <t xml:space="preserve">Lakshmi Bose</t>
  </si>
  <si>
    <t xml:space="preserve">+91-7500172163</t>
  </si>
  <si>
    <t xml:space="preserve">LD0103</t>
  </si>
  <si>
    <t xml:space="preserve">Suresh Joshi</t>
  </si>
  <si>
    <t xml:space="preserve">+91-9195426021</t>
  </si>
  <si>
    <t xml:space="preserve">Apex Realty Solutions</t>
  </si>
  <si>
    <t xml:space="preserve">LD0104</t>
  </si>
  <si>
    <t xml:space="preserve">Lakshmi Mukherjee</t>
  </si>
  <si>
    <t xml:space="preserve">+91-7697130280</t>
  </si>
  <si>
    <t xml:space="preserve">LD0105</t>
  </si>
  <si>
    <t xml:space="preserve">Sheela Agarwal</t>
  </si>
  <si>
    <t xml:space="preserve">+91-9010598470</t>
  </si>
  <si>
    <t xml:space="preserve">LD0106</t>
  </si>
  <si>
    <t xml:space="preserve">Dinesh Patel</t>
  </si>
  <si>
    <t xml:space="preserve">+91-9850328776</t>
  </si>
  <si>
    <t xml:space="preserve">LD0107</t>
  </si>
  <si>
    <t xml:space="preserve">Shobha Venkatesh</t>
  </si>
  <si>
    <t xml:space="preserve">+91-8486554681</t>
  </si>
  <si>
    <t xml:space="preserve">LD0108</t>
  </si>
  <si>
    <t xml:space="preserve">Arun Srinivasan</t>
  </si>
  <si>
    <t xml:space="preserve">+91-7267345665</t>
  </si>
  <si>
    <t xml:space="preserve">LD0109</t>
  </si>
  <si>
    <t xml:space="preserve">Anita Hegde</t>
  </si>
  <si>
    <t xml:space="preserve">+91-9222398930</t>
  </si>
  <si>
    <t xml:space="preserve">LD0110</t>
  </si>
  <si>
    <t xml:space="preserve">Girish Khanna</t>
  </si>
  <si>
    <t xml:space="preserve">+91-9514427987</t>
  </si>
  <si>
    <t xml:space="preserve">LD0111</t>
  </si>
  <si>
    <t xml:space="preserve">Kavita Tiwari</t>
  </si>
  <si>
    <t xml:space="preserve">+91-8639283233</t>
  </si>
  <si>
    <t xml:space="preserve">LD0112</t>
  </si>
  <si>
    <t xml:space="preserve">Geeta Kumar</t>
  </si>
  <si>
    <t xml:space="preserve">+91-8325293904</t>
  </si>
  <si>
    <t xml:space="preserve">LD0113</t>
  </si>
  <si>
    <t xml:space="preserve">Lakshmi Tiwari</t>
  </si>
  <si>
    <t xml:space="preserve">+91-9767223875</t>
  </si>
  <si>
    <t xml:space="preserve">LD0114</t>
  </si>
  <si>
    <t xml:space="preserve">Rohit Hegde</t>
  </si>
  <si>
    <t xml:space="preserve">+91-7250276910</t>
  </si>
  <si>
    <t xml:space="preserve">LD0115</t>
  </si>
  <si>
    <t xml:space="preserve">Pooja Kapoor</t>
  </si>
  <si>
    <t xml:space="preserve">+91-8973930036</t>
  </si>
  <si>
    <t xml:space="preserve">LD0116</t>
  </si>
  <si>
    <t xml:space="preserve">Suresh Mehta</t>
  </si>
  <si>
    <t xml:space="preserve">+91-9831992210</t>
  </si>
  <si>
    <t xml:space="preserve">LD0117</t>
  </si>
  <si>
    <t xml:space="preserve">Rekha Iyer</t>
  </si>
  <si>
    <t xml:space="preserve">+91-8017170521</t>
  </si>
  <si>
    <t xml:space="preserve">LD0118</t>
  </si>
  <si>
    <t xml:space="preserve">Anita Gupta</t>
  </si>
  <si>
    <t xml:space="preserve">+91-8473684928</t>
  </si>
  <si>
    <t xml:space="preserve">Prop World Realty</t>
  </si>
  <si>
    <t xml:space="preserve">LD0119</t>
  </si>
  <si>
    <t xml:space="preserve">Kiran Das</t>
  </si>
  <si>
    <t xml:space="preserve">+91-9117232617</t>
  </si>
  <si>
    <t xml:space="preserve">LD0120</t>
  </si>
  <si>
    <t xml:space="preserve">Amit Banerjee</t>
  </si>
  <si>
    <t xml:space="preserve">+91-8339454350</t>
  </si>
  <si>
    <t xml:space="preserve">LD0121</t>
  </si>
  <si>
    <t xml:space="preserve">Vani Singh</t>
  </si>
  <si>
    <t xml:space="preserve">+91-9790496057</t>
  </si>
  <si>
    <t xml:space="preserve">LD0122</t>
  </si>
  <si>
    <t xml:space="preserve">Vani Iyer</t>
  </si>
  <si>
    <t xml:space="preserve">+91-8949821104</t>
  </si>
  <si>
    <t xml:space="preserve">LD0123</t>
  </si>
  <si>
    <t xml:space="preserve">Aditya Chopra</t>
  </si>
  <si>
    <t xml:space="preserve">+91-8188150483</t>
  </si>
  <si>
    <t xml:space="preserve">LD0124</t>
  </si>
  <si>
    <t xml:space="preserve">Deepa Verma</t>
  </si>
  <si>
    <t xml:space="preserve">+91-9169054140</t>
  </si>
  <si>
    <t xml:space="preserve">LD0125</t>
  </si>
  <si>
    <t xml:space="preserve">Sunil Mishra</t>
  </si>
  <si>
    <t xml:space="preserve">+91-8346357749</t>
  </si>
  <si>
    <t xml:space="preserve">LD0126</t>
  </si>
  <si>
    <t xml:space="preserve">Rohit Bhat</t>
  </si>
  <si>
    <t xml:space="preserve">+91-9222684766</t>
  </si>
  <si>
    <t xml:space="preserve">LD0127</t>
  </si>
  <si>
    <t xml:space="preserve">Anita Desai</t>
  </si>
  <si>
    <t xml:space="preserve">+91-7170994040</t>
  </si>
  <si>
    <t xml:space="preserve">LD0128</t>
  </si>
  <si>
    <t xml:space="preserve">Sheela Srinivasan</t>
  </si>
  <si>
    <t xml:space="preserve">+91-9966577286</t>
  </si>
  <si>
    <t xml:space="preserve">LD0129</t>
  </si>
  <si>
    <t xml:space="preserve">Sunita Hegde</t>
  </si>
  <si>
    <t xml:space="preserve">+91-7772560615</t>
  </si>
  <si>
    <t xml:space="preserve">LD0130</t>
  </si>
  <si>
    <t xml:space="preserve">Anjali Srinivasan</t>
  </si>
  <si>
    <t xml:space="preserve">+91-9718971925</t>
  </si>
  <si>
    <t xml:space="preserve">LD0131</t>
  </si>
  <si>
    <t xml:space="preserve">+91-8386924573</t>
  </si>
  <si>
    <t xml:space="preserve">LD0132</t>
  </si>
  <si>
    <t xml:space="preserve">Sneha Banerjee</t>
  </si>
  <si>
    <t xml:space="preserve">+91-8756512154</t>
  </si>
  <si>
    <t xml:space="preserve">LD0133</t>
  </si>
  <si>
    <t xml:space="preserve">Usha Arora</t>
  </si>
  <si>
    <t xml:space="preserve">+91-9177097584</t>
  </si>
  <si>
    <t xml:space="preserve">LD0134</t>
  </si>
  <si>
    <t xml:space="preserve">Anjali Kapoor</t>
  </si>
  <si>
    <t xml:space="preserve">+91-9082960709</t>
  </si>
  <si>
    <t xml:space="preserve">LD0135</t>
  </si>
  <si>
    <t xml:space="preserve">Vivek Pillai</t>
  </si>
  <si>
    <t xml:space="preserve">+91-9409053583</t>
  </si>
  <si>
    <t xml:space="preserve">LD0136</t>
  </si>
  <si>
    <t xml:space="preserve">Rajesh Gupta</t>
  </si>
  <si>
    <t xml:space="preserve">+91-7206769988</t>
  </si>
  <si>
    <t xml:space="preserve">LD0137</t>
  </si>
  <si>
    <t xml:space="preserve">Amit Tiwari</t>
  </si>
  <si>
    <t xml:space="preserve">+91-7119994790</t>
  </si>
  <si>
    <t xml:space="preserve">DUE TODAY</t>
  </si>
  <si>
    <t xml:space="preserve">LD0138</t>
  </si>
  <si>
    <t xml:space="preserve">Kiran Tiwari</t>
  </si>
  <si>
    <t xml:space="preserve">+91-9931560678</t>
  </si>
  <si>
    <t xml:space="preserve">LD0139</t>
  </si>
  <si>
    <t xml:space="preserve">Naveen Mehta</t>
  </si>
  <si>
    <t xml:space="preserve">+91-9694633652</t>
  </si>
  <si>
    <t xml:space="preserve">LD0140</t>
  </si>
  <si>
    <t xml:space="preserve">Poonam Tiwari</t>
  </si>
  <si>
    <t xml:space="preserve">+91-8151968606</t>
  </si>
  <si>
    <t xml:space="preserve">LD0141</t>
  </si>
  <si>
    <t xml:space="preserve">Amit Mukherjee</t>
  </si>
  <si>
    <t xml:space="preserve">+91-9780989635</t>
  </si>
  <si>
    <t xml:space="preserve">LD0142</t>
  </si>
  <si>
    <t xml:space="preserve">+91-7502799006</t>
  </si>
  <si>
    <t xml:space="preserve">LD0143</t>
  </si>
  <si>
    <t xml:space="preserve">Anita Srinivasan</t>
  </si>
  <si>
    <t xml:space="preserve">+91-7371713396</t>
  </si>
  <si>
    <t xml:space="preserve">LD0144</t>
  </si>
  <si>
    <t xml:space="preserve">Deepa Khanna</t>
  </si>
  <si>
    <t xml:space="preserve">+91-9274074382</t>
  </si>
  <si>
    <t xml:space="preserve">LD0145</t>
  </si>
  <si>
    <t xml:space="preserve">Kiran Reddy</t>
  </si>
  <si>
    <t xml:space="preserve">+91-9920749315</t>
  </si>
  <si>
    <t xml:space="preserve">LD0146</t>
  </si>
  <si>
    <t xml:space="preserve">Arun Mehta</t>
  </si>
  <si>
    <t xml:space="preserve">+91-8815485009</t>
  </si>
  <si>
    <t xml:space="preserve">LD0147</t>
  </si>
  <si>
    <t xml:space="preserve">Vivek Desai</t>
  </si>
  <si>
    <t xml:space="preserve">+91-9520363665</t>
  </si>
  <si>
    <t xml:space="preserve">LD0148</t>
  </si>
  <si>
    <t xml:space="preserve">Shobha Kumar</t>
  </si>
  <si>
    <t xml:space="preserve">+91-9096487042</t>
  </si>
  <si>
    <t xml:space="preserve">LD0149</t>
  </si>
  <si>
    <t xml:space="preserve">Deepa Mishra</t>
  </si>
  <si>
    <t xml:space="preserve">+91-8700347230</t>
  </si>
  <si>
    <t xml:space="preserve">LD0150</t>
  </si>
  <si>
    <t xml:space="preserve">Anjali Pillai</t>
  </si>
  <si>
    <t xml:space="preserve">+91-8902630210</t>
  </si>
  <si>
    <t xml:space="preserve">LD0151</t>
  </si>
  <si>
    <t xml:space="preserve">Arun Grover</t>
  </si>
  <si>
    <t xml:space="preserve">+91-9133637631</t>
  </si>
  <si>
    <t xml:space="preserve">LD0152</t>
  </si>
  <si>
    <t xml:space="preserve">Shobha Naidu</t>
  </si>
  <si>
    <t xml:space="preserve">+91-7974669446</t>
  </si>
  <si>
    <t xml:space="preserve">LD0153</t>
  </si>
  <si>
    <t xml:space="preserve">Suresh Singh</t>
  </si>
  <si>
    <t xml:space="preserve">+91-8046355268</t>
  </si>
  <si>
    <t xml:space="preserve">LD0154</t>
  </si>
  <si>
    <t xml:space="preserve">Santosh Mishra</t>
  </si>
  <si>
    <t xml:space="preserve">+91-7165848038</t>
  </si>
  <si>
    <t xml:space="preserve">LD0155</t>
  </si>
  <si>
    <t xml:space="preserve">Divya Grover</t>
  </si>
  <si>
    <t xml:space="preserve">+91-8529675373</t>
  </si>
  <si>
    <t xml:space="preserve">LD0156</t>
  </si>
  <si>
    <t xml:space="preserve">Aditya Khanna</t>
  </si>
  <si>
    <t xml:space="preserve">+91-7921974866</t>
  </si>
  <si>
    <t xml:space="preserve">LD0157</t>
  </si>
  <si>
    <t xml:space="preserve">Vani Jain</t>
  </si>
  <si>
    <t xml:space="preserve">+91-8312616705</t>
  </si>
  <si>
    <t xml:space="preserve">LD0158</t>
  </si>
  <si>
    <t xml:space="preserve">Shobha Chopra</t>
  </si>
  <si>
    <t xml:space="preserve">+91-9229590090</t>
  </si>
  <si>
    <t xml:space="preserve">LD0159</t>
  </si>
  <si>
    <t xml:space="preserve">Pooja Mishra</t>
  </si>
  <si>
    <t xml:space="preserve">+91-8315275546</t>
  </si>
  <si>
    <t xml:space="preserve">LD0160</t>
  </si>
  <si>
    <t xml:space="preserve">Amit Gupta</t>
  </si>
  <si>
    <t xml:space="preserve">+91-7458052987</t>
  </si>
  <si>
    <t xml:space="preserve">LD0161</t>
  </si>
  <si>
    <t xml:space="preserve">Sunil Das</t>
  </si>
  <si>
    <t xml:space="preserve">+91-9322383783</t>
  </si>
  <si>
    <t xml:space="preserve">LD0162</t>
  </si>
  <si>
    <t xml:space="preserve">Aditya Jain</t>
  </si>
  <si>
    <t xml:space="preserve">+91-8555144803</t>
  </si>
  <si>
    <t xml:space="preserve">LD0163</t>
  </si>
  <si>
    <t xml:space="preserve">Girish Arora</t>
  </si>
  <si>
    <t xml:space="preserve">+91-9692499224</t>
  </si>
  <si>
    <t xml:space="preserve">LD0164</t>
  </si>
  <si>
    <t xml:space="preserve">Rohit Gupta</t>
  </si>
  <si>
    <t xml:space="preserve">+91-8644390147</t>
  </si>
  <si>
    <t xml:space="preserve">LD0165</t>
  </si>
  <si>
    <t xml:space="preserve">Sheela Singh</t>
  </si>
  <si>
    <t xml:space="preserve">+91-8028132699</t>
  </si>
  <si>
    <t xml:space="preserve">LD0166</t>
  </si>
  <si>
    <t xml:space="preserve">Mohan Bedi</t>
  </si>
  <si>
    <t xml:space="preserve">+91-8828749124</t>
  </si>
  <si>
    <t xml:space="preserve">LD0167</t>
  </si>
  <si>
    <t xml:space="preserve">Meera Pandey</t>
  </si>
  <si>
    <t xml:space="preserve">+91-7399385166</t>
  </si>
  <si>
    <t xml:space="preserve">LD0168</t>
  </si>
  <si>
    <t xml:space="preserve">Poonam Krishnan</t>
  </si>
  <si>
    <t xml:space="preserve">+91-9149443612</t>
  </si>
  <si>
    <t xml:space="preserve">LD0169</t>
  </si>
  <si>
    <t xml:space="preserve">Sheela Verma</t>
  </si>
  <si>
    <t xml:space="preserve">+91-7166397796</t>
  </si>
  <si>
    <t xml:space="preserve">LD0170</t>
  </si>
  <si>
    <t xml:space="preserve">Ramesh Agarwal</t>
  </si>
  <si>
    <t xml:space="preserve">+91-8803330701</t>
  </si>
  <si>
    <t xml:space="preserve">LD0171</t>
  </si>
  <si>
    <t xml:space="preserve">Lakshmi Jain</t>
  </si>
  <si>
    <t xml:space="preserve">+91-8753514888</t>
  </si>
  <si>
    <t xml:space="preserve">LD0172</t>
  </si>
  <si>
    <t xml:space="preserve">+91-7977784443</t>
  </si>
  <si>
    <t xml:space="preserve">LD0173</t>
  </si>
  <si>
    <t xml:space="preserve">Vani Nair</t>
  </si>
  <si>
    <t xml:space="preserve">+91-7894035272</t>
  </si>
  <si>
    <t xml:space="preserve">LD0174</t>
  </si>
  <si>
    <t xml:space="preserve">Pooja Bose</t>
  </si>
  <si>
    <t xml:space="preserve">+91-9001993719</t>
  </si>
  <si>
    <t xml:space="preserve">LD0175</t>
  </si>
  <si>
    <t xml:space="preserve">Santosh Hegde</t>
  </si>
  <si>
    <t xml:space="preserve">+91-7022344181</t>
  </si>
  <si>
    <t xml:space="preserve">LD0176</t>
  </si>
  <si>
    <t xml:space="preserve">Divya Banerjee</t>
  </si>
  <si>
    <t xml:space="preserve">+91-7203597528</t>
  </si>
  <si>
    <t xml:space="preserve">LD0177</t>
  </si>
  <si>
    <t xml:space="preserve">Pooja Desai</t>
  </si>
  <si>
    <t xml:space="preserve">+91-9014038947</t>
  </si>
  <si>
    <t xml:space="preserve">LD0178</t>
  </si>
  <si>
    <t xml:space="preserve">Meera Mishra</t>
  </si>
  <si>
    <t xml:space="preserve">+91-9627997044</t>
  </si>
  <si>
    <t xml:space="preserve">LD0179</t>
  </si>
  <si>
    <t xml:space="preserve">Sanjay Banerjee</t>
  </si>
  <si>
    <t xml:space="preserve">+91-9715781781</t>
  </si>
  <si>
    <t xml:space="preserve">LD0180</t>
  </si>
  <si>
    <t xml:space="preserve">Usha Shah</t>
  </si>
  <si>
    <t xml:space="preserve">+91-7297976895</t>
  </si>
  <si>
    <t xml:space="preserve">LD0181</t>
  </si>
  <si>
    <t xml:space="preserve">Anita Singh</t>
  </si>
  <si>
    <t xml:space="preserve">+91-8297443352</t>
  </si>
  <si>
    <t xml:space="preserve">LD0182</t>
  </si>
  <si>
    <t xml:space="preserve">Rahul Verma</t>
  </si>
  <si>
    <t xml:space="preserve">+91-7103947629</t>
  </si>
  <si>
    <t xml:space="preserve">LD0183</t>
  </si>
  <si>
    <t xml:space="preserve">Lakshmi Mehta</t>
  </si>
  <si>
    <t xml:space="preserve">+91-9141555582</t>
  </si>
  <si>
    <t xml:space="preserve">LD0184</t>
  </si>
  <si>
    <t xml:space="preserve">Pooja Mehta</t>
  </si>
  <si>
    <t xml:space="preserve">+91-8743059712</t>
  </si>
  <si>
    <t xml:space="preserve">LD0185</t>
  </si>
  <si>
    <t xml:space="preserve">Meera Banerjee</t>
  </si>
  <si>
    <t xml:space="preserve">+91-7788637011</t>
  </si>
  <si>
    <t xml:space="preserve">LD0186</t>
  </si>
  <si>
    <t xml:space="preserve">Suresh Nair</t>
  </si>
  <si>
    <t xml:space="preserve">+91-8768638477</t>
  </si>
  <si>
    <t xml:space="preserve">LD0187</t>
  </si>
  <si>
    <t xml:space="preserve">Neha Mishra</t>
  </si>
  <si>
    <t xml:space="preserve">+91-9871328777</t>
  </si>
  <si>
    <t xml:space="preserve">LD0188</t>
  </si>
  <si>
    <t xml:space="preserve">+91-8624016145</t>
  </si>
  <si>
    <t xml:space="preserve">LD0189</t>
  </si>
  <si>
    <t xml:space="preserve">Geeta Krishnan</t>
  </si>
  <si>
    <t xml:space="preserve">+91-7789639536</t>
  </si>
  <si>
    <t xml:space="preserve">LD0190</t>
  </si>
  <si>
    <t xml:space="preserve">Aditya Iyer</t>
  </si>
  <si>
    <t xml:space="preserve">+91-7666253288</t>
  </si>
  <si>
    <t xml:space="preserve">LD0191</t>
  </si>
  <si>
    <t xml:space="preserve">Anjali Bhat</t>
  </si>
  <si>
    <t xml:space="preserve">+91-9862619539</t>
  </si>
  <si>
    <t xml:space="preserve">LD0192</t>
  </si>
  <si>
    <t xml:space="preserve">Kiran Sethi</t>
  </si>
  <si>
    <t xml:space="preserve">+91-9429625376</t>
  </si>
  <si>
    <t xml:space="preserve">LD0193</t>
  </si>
  <si>
    <t xml:space="preserve">Sheela Banerjee</t>
  </si>
  <si>
    <t xml:space="preserve">+91-8748695029</t>
  </si>
  <si>
    <t xml:space="preserve">LD0194</t>
  </si>
  <si>
    <t xml:space="preserve">Geeta Pandey</t>
  </si>
  <si>
    <t xml:space="preserve">+91-8214751015</t>
  </si>
  <si>
    <t xml:space="preserve">LD0195</t>
  </si>
  <si>
    <t xml:space="preserve">Lakshmi Gupta</t>
  </si>
  <si>
    <t xml:space="preserve">+91-8368348691</t>
  </si>
  <si>
    <t xml:space="preserve">LD0196</t>
  </si>
  <si>
    <t xml:space="preserve">Sunita Shah</t>
  </si>
  <si>
    <t xml:space="preserve">+91-9501374044</t>
  </si>
  <si>
    <t xml:space="preserve">LD0197</t>
  </si>
  <si>
    <t xml:space="preserve">Harish Desai</t>
  </si>
  <si>
    <t xml:space="preserve">+91-9749419742</t>
  </si>
  <si>
    <t xml:space="preserve">LD0198</t>
  </si>
  <si>
    <t xml:space="preserve">Neha Sharma</t>
  </si>
  <si>
    <t xml:space="preserve">+91-7198090980</t>
  </si>
  <si>
    <t xml:space="preserve">LD0199</t>
  </si>
  <si>
    <t xml:space="preserve">Sunil Jain</t>
  </si>
  <si>
    <t xml:space="preserve">+91-7900280220</t>
  </si>
  <si>
    <t xml:space="preserve">LD0200</t>
  </si>
  <si>
    <t xml:space="preserve">+91-9671256457</t>
  </si>
  <si>
    <t xml:space="preserve">LD0201</t>
  </si>
  <si>
    <t xml:space="preserve">Manoj Venkatesh</t>
  </si>
  <si>
    <t xml:space="preserve">+91-9142195182</t>
  </si>
  <si>
    <t xml:space="preserve">LD0202</t>
  </si>
  <si>
    <t xml:space="preserve">+91-9769966873</t>
  </si>
  <si>
    <t xml:space="preserve">LD0203</t>
  </si>
  <si>
    <t xml:space="preserve">Naveen Arora</t>
  </si>
  <si>
    <t xml:space="preserve">+91-7918781176</t>
  </si>
  <si>
    <t xml:space="preserve">LD0204</t>
  </si>
  <si>
    <t xml:space="preserve">Shobha Gupta</t>
  </si>
  <si>
    <t xml:space="preserve">+91-7532383919</t>
  </si>
  <si>
    <t xml:space="preserve">LD0205</t>
  </si>
  <si>
    <t xml:space="preserve">Rohit Arora</t>
  </si>
  <si>
    <t xml:space="preserve">+91-7320067290</t>
  </si>
  <si>
    <t xml:space="preserve">LD0206</t>
  </si>
  <si>
    <t xml:space="preserve">Meera Kumar</t>
  </si>
  <si>
    <t xml:space="preserve">+91-8812159207</t>
  </si>
  <si>
    <t xml:space="preserve">LD0207</t>
  </si>
  <si>
    <t xml:space="preserve">Ravi Mehta</t>
  </si>
  <si>
    <t xml:space="preserve">+91-7505359807</t>
  </si>
  <si>
    <t xml:space="preserve">LD0208</t>
  </si>
  <si>
    <t xml:space="preserve">Sunita Krishnan</t>
  </si>
  <si>
    <t xml:space="preserve">+91-7286034561</t>
  </si>
  <si>
    <t xml:space="preserve">LD0209</t>
  </si>
  <si>
    <t xml:space="preserve">Ravi Bhat</t>
  </si>
  <si>
    <t xml:space="preserve">+91-9830260493</t>
  </si>
  <si>
    <t xml:space="preserve">LD0210</t>
  </si>
  <si>
    <t xml:space="preserve">Rahul Tiwari</t>
  </si>
  <si>
    <t xml:space="preserve">+91-7454945247</t>
  </si>
  <si>
    <t xml:space="preserve">LD0211</t>
  </si>
  <si>
    <t xml:space="preserve">Aditya Choudhary</t>
  </si>
  <si>
    <t xml:space="preserve">+91-7824742321</t>
  </si>
  <si>
    <t xml:space="preserve">LD0212</t>
  </si>
  <si>
    <t xml:space="preserve">Harish Taneja</t>
  </si>
  <si>
    <t xml:space="preserve">+91-9634753193</t>
  </si>
  <si>
    <t xml:space="preserve">LD0213</t>
  </si>
  <si>
    <t xml:space="preserve">Anita Bose</t>
  </si>
  <si>
    <t xml:space="preserve">+91-7955092955</t>
  </si>
  <si>
    <t xml:space="preserve">LD0214</t>
  </si>
  <si>
    <t xml:space="preserve">Harish Arora</t>
  </si>
  <si>
    <t xml:space="preserve">+91-8787933583</t>
  </si>
  <si>
    <t xml:space="preserve">LD0215</t>
  </si>
  <si>
    <t xml:space="preserve">+91-7456093012</t>
  </si>
  <si>
    <t xml:space="preserve">LD0216</t>
  </si>
  <si>
    <t xml:space="preserve">Aditya Banerjee</t>
  </si>
  <si>
    <t xml:space="preserve">+91-8751076402</t>
  </si>
  <si>
    <t xml:space="preserve">LD0217</t>
  </si>
  <si>
    <t xml:space="preserve">Lakshmi Bedi</t>
  </si>
  <si>
    <t xml:space="preserve">+91-9120090304</t>
  </si>
  <si>
    <t xml:space="preserve">LD0218</t>
  </si>
  <si>
    <t xml:space="preserve">Amit Arora</t>
  </si>
  <si>
    <t xml:space="preserve">+91-8460759036</t>
  </si>
  <si>
    <t xml:space="preserve">LD0219</t>
  </si>
  <si>
    <t xml:space="preserve">Santosh Desai</t>
  </si>
  <si>
    <t xml:space="preserve">+91-7464255656</t>
  </si>
  <si>
    <t xml:space="preserve">LD0220</t>
  </si>
  <si>
    <t xml:space="preserve">Aditya Bose</t>
  </si>
  <si>
    <t xml:space="preserve">+91-7983915856</t>
  </si>
  <si>
    <t xml:space="preserve">LD0221</t>
  </si>
  <si>
    <t xml:space="preserve">+91-8514040389</t>
  </si>
  <si>
    <t xml:space="preserve">LD0222</t>
  </si>
  <si>
    <t xml:space="preserve">Santosh Mehta</t>
  </si>
  <si>
    <t xml:space="preserve">+91-7014538153</t>
  </si>
  <si>
    <t xml:space="preserve">LD0223</t>
  </si>
  <si>
    <t xml:space="preserve">Sanjay Choudhary</t>
  </si>
  <si>
    <t xml:space="preserve">+91-7373444387</t>
  </si>
  <si>
    <t xml:space="preserve">LD0224</t>
  </si>
  <si>
    <t xml:space="preserve">Harish Kapoor</t>
  </si>
  <si>
    <t xml:space="preserve">+91-9022932613</t>
  </si>
  <si>
    <t xml:space="preserve">LD0225</t>
  </si>
  <si>
    <t xml:space="preserve">Aditya Grover</t>
  </si>
  <si>
    <t xml:space="preserve">+91-9272228528</t>
  </si>
  <si>
    <t xml:space="preserve">LD0226</t>
  </si>
  <si>
    <t xml:space="preserve">Usha Krishnan</t>
  </si>
  <si>
    <t xml:space="preserve">+91-7546774178</t>
  </si>
  <si>
    <t xml:space="preserve">LD0227</t>
  </si>
  <si>
    <t xml:space="preserve">Sneha Mishra</t>
  </si>
  <si>
    <t xml:space="preserve">+91-9671260324</t>
  </si>
  <si>
    <t xml:space="preserve">LD0228</t>
  </si>
  <si>
    <t xml:space="preserve">Dinesh Malhotra</t>
  </si>
  <si>
    <t xml:space="preserve">+91-7270884107</t>
  </si>
  <si>
    <t xml:space="preserve">LD0229</t>
  </si>
  <si>
    <t xml:space="preserve">Priya Agarwal</t>
  </si>
  <si>
    <t xml:space="preserve">+91-9531474921</t>
  </si>
  <si>
    <t xml:space="preserve">LD0230</t>
  </si>
  <si>
    <t xml:space="preserve">+91-8393123423</t>
  </si>
  <si>
    <t xml:space="preserve">LD0231</t>
  </si>
  <si>
    <t xml:space="preserve">Rohit Pandey</t>
  </si>
  <si>
    <t xml:space="preserve">+91-9656587060</t>
  </si>
  <si>
    <t xml:space="preserve">LD0232</t>
  </si>
  <si>
    <t xml:space="preserve">Geeta Grover</t>
  </si>
  <si>
    <t xml:space="preserve">+91-8744146842</t>
  </si>
  <si>
    <t xml:space="preserve">LD0233</t>
  </si>
  <si>
    <t xml:space="preserve">Vani Bedi</t>
  </si>
  <si>
    <t xml:space="preserve">+91-9457963948</t>
  </si>
  <si>
    <t xml:space="preserve">LD0234</t>
  </si>
  <si>
    <t xml:space="preserve">Neha Choudhary</t>
  </si>
  <si>
    <t xml:space="preserve">+91-7465885684</t>
  </si>
  <si>
    <t xml:space="preserve">LD0235</t>
  </si>
  <si>
    <t xml:space="preserve">Manoj Naidu</t>
  </si>
  <si>
    <t xml:space="preserve">+91-8599252898</t>
  </si>
  <si>
    <t xml:space="preserve">LD0236</t>
  </si>
  <si>
    <t xml:space="preserve">Girish Sharma</t>
  </si>
  <si>
    <t xml:space="preserve">+91-9702837767</t>
  </si>
  <si>
    <t xml:space="preserve">LD0237</t>
  </si>
  <si>
    <t xml:space="preserve">Harish Choudhary</t>
  </si>
  <si>
    <t xml:space="preserve">+91-9051870238</t>
  </si>
  <si>
    <t xml:space="preserve">LD0238</t>
  </si>
  <si>
    <t xml:space="preserve">Priya Reddy</t>
  </si>
  <si>
    <t xml:space="preserve">+91-9865345916</t>
  </si>
  <si>
    <t xml:space="preserve">LD0239</t>
  </si>
  <si>
    <t xml:space="preserve">+91-7298822475</t>
  </si>
  <si>
    <t xml:space="preserve">LD0240</t>
  </si>
  <si>
    <t xml:space="preserve">+91-8125825806</t>
  </si>
  <si>
    <t xml:space="preserve">LD0241</t>
  </si>
  <si>
    <t xml:space="preserve">Ravi Mishra</t>
  </si>
  <si>
    <t xml:space="preserve">+91-8254127451</t>
  </si>
  <si>
    <t xml:space="preserve">LD0242</t>
  </si>
  <si>
    <t xml:space="preserve">+91-9018799989</t>
  </si>
  <si>
    <t xml:space="preserve">LD0243</t>
  </si>
  <si>
    <t xml:space="preserve">Anita Verma</t>
  </si>
  <si>
    <t xml:space="preserve">+91-7811946302</t>
  </si>
  <si>
    <t xml:space="preserve">LD0244</t>
  </si>
  <si>
    <t xml:space="preserve">Anjali Banerjee</t>
  </si>
  <si>
    <t xml:space="preserve">+91-9450561347</t>
  </si>
  <si>
    <t xml:space="preserve">LD0245</t>
  </si>
  <si>
    <t xml:space="preserve">Sneha Singh</t>
  </si>
  <si>
    <t xml:space="preserve">+91-8183251480</t>
  </si>
  <si>
    <t xml:space="preserve">LD0246</t>
  </si>
  <si>
    <t xml:space="preserve">+91-7221211807</t>
  </si>
  <si>
    <t xml:space="preserve">LD0247</t>
  </si>
  <si>
    <t xml:space="preserve">Kavita Verma</t>
  </si>
  <si>
    <t xml:space="preserve">+91-9098980328</t>
  </si>
  <si>
    <t xml:space="preserve">LD0248</t>
  </si>
  <si>
    <t xml:space="preserve">Poonam Grover</t>
  </si>
  <si>
    <t xml:space="preserve">+91-8280386865</t>
  </si>
  <si>
    <t xml:space="preserve">LD0249</t>
  </si>
  <si>
    <t xml:space="preserve">Suresh Pandey</t>
  </si>
  <si>
    <t xml:space="preserve">+91-9006389800</t>
  </si>
  <si>
    <t xml:space="preserve">LD0250</t>
  </si>
  <si>
    <t xml:space="preserve">Neha Pandey</t>
  </si>
  <si>
    <t xml:space="preserve">+91-7547158741</t>
  </si>
  <si>
    <t xml:space="preserve">LD0251</t>
  </si>
  <si>
    <t xml:space="preserve">Rajesh Choudhary</t>
  </si>
  <si>
    <t xml:space="preserve">+91-8889592251</t>
  </si>
  <si>
    <t xml:space="preserve">LD0252</t>
  </si>
  <si>
    <t xml:space="preserve">Suresh Khanna</t>
  </si>
  <si>
    <t xml:space="preserve">+91-9930385223</t>
  </si>
  <si>
    <t xml:space="preserve">LD0253</t>
  </si>
  <si>
    <t xml:space="preserve">Pooja Agarwal</t>
  </si>
  <si>
    <t xml:space="preserve">+91-7491733456</t>
  </si>
  <si>
    <t xml:space="preserve">LD0254</t>
  </si>
  <si>
    <t xml:space="preserve">Amit Chopra</t>
  </si>
  <si>
    <t xml:space="preserve">+91-8872858864</t>
  </si>
  <si>
    <t xml:space="preserve">LD0255</t>
  </si>
  <si>
    <t xml:space="preserve">Pooja Malhotra</t>
  </si>
  <si>
    <t xml:space="preserve">+91-9837847002</t>
  </si>
  <si>
    <t xml:space="preserve">LD0256</t>
  </si>
  <si>
    <t xml:space="preserve">Aditya Das</t>
  </si>
  <si>
    <t xml:space="preserve">+91-8520158270</t>
  </si>
  <si>
    <t xml:space="preserve">LD0257</t>
  </si>
  <si>
    <t xml:space="preserve">+91-7004796154</t>
  </si>
  <si>
    <t xml:space="preserve">LD0258</t>
  </si>
  <si>
    <t xml:space="preserve">Divya Pandey</t>
  </si>
  <si>
    <t xml:space="preserve">+91-7143840339</t>
  </si>
  <si>
    <t xml:space="preserve">LD0259</t>
  </si>
  <si>
    <t xml:space="preserve">Ramesh Naidu</t>
  </si>
  <si>
    <t xml:space="preserve">+91-8939584425</t>
  </si>
  <si>
    <t xml:space="preserve">LD0260</t>
  </si>
  <si>
    <t xml:space="preserve">Neha Hegde</t>
  </si>
  <si>
    <t xml:space="preserve">+91-8483545645</t>
  </si>
  <si>
    <t xml:space="preserve">LD0261</t>
  </si>
  <si>
    <t xml:space="preserve">+91-7395680244</t>
  </si>
  <si>
    <t xml:space="preserve">LD0262</t>
  </si>
  <si>
    <t xml:space="preserve">Geeta Verma</t>
  </si>
  <si>
    <t xml:space="preserve">+91-7704552964</t>
  </si>
  <si>
    <t xml:space="preserve">LD0263</t>
  </si>
  <si>
    <t xml:space="preserve">Sunita Joshi</t>
  </si>
  <si>
    <t xml:space="preserve">+91-8325169270</t>
  </si>
  <si>
    <t xml:space="preserve">LD0264</t>
  </si>
  <si>
    <t xml:space="preserve">Dinesh Chopra</t>
  </si>
  <si>
    <t xml:space="preserve">+91-7649262505</t>
  </si>
  <si>
    <t xml:space="preserve">LD0265</t>
  </si>
  <si>
    <t xml:space="preserve">Vivek Joshi</t>
  </si>
  <si>
    <t xml:space="preserve">+91-9965753456</t>
  </si>
  <si>
    <t xml:space="preserve">LD0266</t>
  </si>
  <si>
    <t xml:space="preserve">+91-8159838143</t>
  </si>
  <si>
    <t xml:space="preserve">LD0267</t>
  </si>
  <si>
    <t xml:space="preserve">Deepa Choudhary</t>
  </si>
  <si>
    <t xml:space="preserve">+91-8350082179</t>
  </si>
  <si>
    <t xml:space="preserve">LD0268</t>
  </si>
  <si>
    <t xml:space="preserve">+91-9628581258</t>
  </si>
  <si>
    <t xml:space="preserve">LD0269</t>
  </si>
  <si>
    <t xml:space="preserve">Priya Krishnan</t>
  </si>
  <si>
    <t xml:space="preserve">+91-8272645446</t>
  </si>
  <si>
    <t xml:space="preserve">LD0270</t>
  </si>
  <si>
    <t xml:space="preserve">Deepa Patel</t>
  </si>
  <si>
    <t xml:space="preserve">+91-9512786544</t>
  </si>
  <si>
    <t xml:space="preserve">LD0271</t>
  </si>
  <si>
    <t xml:space="preserve">Meera Rao</t>
  </si>
  <si>
    <t xml:space="preserve">+91-9773860911</t>
  </si>
  <si>
    <t xml:space="preserve">LD0272</t>
  </si>
  <si>
    <t xml:space="preserve">Geeta Mehta</t>
  </si>
  <si>
    <t xml:space="preserve">+91-8846828625</t>
  </si>
  <si>
    <t xml:space="preserve">LD0273</t>
  </si>
  <si>
    <t xml:space="preserve">Shobha Shah</t>
  </si>
  <si>
    <t xml:space="preserve">+91-8725072650</t>
  </si>
  <si>
    <t xml:space="preserve">LD0274</t>
  </si>
  <si>
    <t xml:space="preserve">Rahul Bose</t>
  </si>
  <si>
    <t xml:space="preserve">+91-8922228566</t>
  </si>
  <si>
    <t xml:space="preserve">LD0275</t>
  </si>
  <si>
    <t xml:space="preserve">+91-9399767261</t>
  </si>
  <si>
    <t xml:space="preserve">LD0276</t>
  </si>
  <si>
    <t xml:space="preserve">+91-9388210235</t>
  </si>
  <si>
    <t xml:space="preserve">LD0277</t>
  </si>
  <si>
    <t xml:space="preserve">+91-7460853406</t>
  </si>
  <si>
    <t xml:space="preserve">LD0278</t>
  </si>
  <si>
    <t xml:space="preserve">Suresh Banerjee</t>
  </si>
  <si>
    <t xml:space="preserve">+91-9271318885</t>
  </si>
  <si>
    <t xml:space="preserve">LD0279</t>
  </si>
  <si>
    <t xml:space="preserve">Geeta Pillai</t>
  </si>
  <si>
    <t xml:space="preserve">+91-8150981568</t>
  </si>
  <si>
    <t xml:space="preserve">LD0280</t>
  </si>
  <si>
    <t xml:space="preserve">Divya Nair</t>
  </si>
  <si>
    <t xml:space="preserve">+91-7243154801</t>
  </si>
  <si>
    <t xml:space="preserve">LD0281</t>
  </si>
  <si>
    <t xml:space="preserve">Arun Krishnan</t>
  </si>
  <si>
    <t xml:space="preserve">+91-9141831626</t>
  </si>
  <si>
    <t xml:space="preserve">LD0282</t>
  </si>
  <si>
    <t xml:space="preserve">Vani Hegde</t>
  </si>
  <si>
    <t xml:space="preserve">+91-9164646899</t>
  </si>
  <si>
    <t xml:space="preserve">LD0283</t>
  </si>
  <si>
    <t xml:space="preserve">+91-7287148607</t>
  </si>
  <si>
    <t xml:space="preserve">LD0284</t>
  </si>
  <si>
    <t xml:space="preserve">+91-9571862096</t>
  </si>
  <si>
    <t xml:space="preserve">LD0285</t>
  </si>
  <si>
    <t xml:space="preserve">Sheela Khanna</t>
  </si>
  <si>
    <t xml:space="preserve">+91-8460715848</t>
  </si>
  <si>
    <t xml:space="preserve">LD0286</t>
  </si>
  <si>
    <t xml:space="preserve">Kavita Bhat</t>
  </si>
  <si>
    <t xml:space="preserve">+91-8126580968</t>
  </si>
  <si>
    <t xml:space="preserve">LD0287</t>
  </si>
  <si>
    <t xml:space="preserve">Lakshmi Sethi</t>
  </si>
  <si>
    <t xml:space="preserve">+91-8560649171</t>
  </si>
  <si>
    <t xml:space="preserve">LD0288</t>
  </si>
  <si>
    <t xml:space="preserve">Anjali Venkatesh</t>
  </si>
  <si>
    <t xml:space="preserve">+91-9481168856</t>
  </si>
  <si>
    <t xml:space="preserve">LD0289</t>
  </si>
  <si>
    <t xml:space="preserve">+91-9733287994</t>
  </si>
  <si>
    <t xml:space="preserve">LD0290</t>
  </si>
  <si>
    <t xml:space="preserve">Kavita Das</t>
  </si>
  <si>
    <t xml:space="preserve">+91-9862111620</t>
  </si>
  <si>
    <t xml:space="preserve">LD0291</t>
  </si>
  <si>
    <t xml:space="preserve">Sunil Sethi</t>
  </si>
  <si>
    <t xml:space="preserve">+91-8843823237</t>
  </si>
  <si>
    <t xml:space="preserve">LD0292</t>
  </si>
  <si>
    <t xml:space="preserve">Sneha Bedi</t>
  </si>
  <si>
    <t xml:space="preserve">+91-8320428855</t>
  </si>
  <si>
    <t xml:space="preserve">LD0293</t>
  </si>
  <si>
    <t xml:space="preserve">Sunil Taneja</t>
  </si>
  <si>
    <t xml:space="preserve">+91-7066254284</t>
  </si>
  <si>
    <t xml:space="preserve">LD0294</t>
  </si>
  <si>
    <t xml:space="preserve">Aditya Pandey</t>
  </si>
  <si>
    <t xml:space="preserve">+91-9388164627</t>
  </si>
  <si>
    <t xml:space="preserve">LD0295</t>
  </si>
  <si>
    <t xml:space="preserve">Vani Joshi</t>
  </si>
  <si>
    <t xml:space="preserve">+91-7215050779</t>
  </si>
  <si>
    <t xml:space="preserve">LD0296</t>
  </si>
  <si>
    <t xml:space="preserve">Usha Venkatesh</t>
  </si>
  <si>
    <t xml:space="preserve">+91-7165657235</t>
  </si>
  <si>
    <t xml:space="preserve">LD0297</t>
  </si>
  <si>
    <t xml:space="preserve">Kiran Choudhary</t>
  </si>
  <si>
    <t xml:space="preserve">+91-7581972204</t>
  </si>
  <si>
    <t xml:space="preserve">LD0298</t>
  </si>
  <si>
    <t xml:space="preserve">Girish Chopra</t>
  </si>
  <si>
    <t xml:space="preserve">+91-9808539012</t>
  </si>
  <si>
    <t xml:space="preserve">LD0299</t>
  </si>
  <si>
    <t xml:space="preserve">Meera Verma</t>
  </si>
  <si>
    <t xml:space="preserve">+91-9624211109</t>
  </si>
  <si>
    <t xml:space="preserve">LD0300</t>
  </si>
  <si>
    <t xml:space="preserve">Meera Pillai</t>
  </si>
  <si>
    <t xml:space="preserve">+91-7715071171</t>
  </si>
  <si>
    <t xml:space="preserve">LD0301</t>
  </si>
  <si>
    <t xml:space="preserve">Aditya Kapoor</t>
  </si>
  <si>
    <t xml:space="preserve">+91-8995747051</t>
  </si>
  <si>
    <t xml:space="preserve">LD0302</t>
  </si>
  <si>
    <t xml:space="preserve">Aditya Nair</t>
  </si>
  <si>
    <t xml:space="preserve">+91-8695041496</t>
  </si>
  <si>
    <t xml:space="preserve">LD0303</t>
  </si>
  <si>
    <t xml:space="preserve">Neha Taneja</t>
  </si>
  <si>
    <t xml:space="preserve">+91-8272214629</t>
  </si>
  <si>
    <t xml:space="preserve">LD0304</t>
  </si>
  <si>
    <t xml:space="preserve">+91-7983632280</t>
  </si>
  <si>
    <t xml:space="preserve">LD0305</t>
  </si>
  <si>
    <t xml:space="preserve">Dinesh Mehta</t>
  </si>
  <si>
    <t xml:space="preserve">+91-7728256567</t>
  </si>
  <si>
    <t xml:space="preserve">LD0306</t>
  </si>
  <si>
    <t xml:space="preserve">+91-9838993151</t>
  </si>
  <si>
    <t xml:space="preserve">LD0307</t>
  </si>
  <si>
    <t xml:space="preserve">Girish Sethi</t>
  </si>
  <si>
    <t xml:space="preserve">+91-8353617086</t>
  </si>
  <si>
    <t xml:space="preserve">LD0308</t>
  </si>
  <si>
    <t xml:space="preserve">Sunita Mishra</t>
  </si>
  <si>
    <t xml:space="preserve">+91-8089992710</t>
  </si>
  <si>
    <t xml:space="preserve">LD0309</t>
  </si>
  <si>
    <t xml:space="preserve">Deepa Das</t>
  </si>
  <si>
    <t xml:space="preserve">+91-8604221539</t>
  </si>
  <si>
    <t xml:space="preserve">LD0310</t>
  </si>
  <si>
    <t xml:space="preserve">Rajesh Grover</t>
  </si>
  <si>
    <t xml:space="preserve">+91-7046152233</t>
  </si>
  <si>
    <t xml:space="preserve">LD0311</t>
  </si>
  <si>
    <t xml:space="preserve">Ramesh Shah</t>
  </si>
  <si>
    <t xml:space="preserve">+91-7336560272</t>
  </si>
  <si>
    <t xml:space="preserve">LD0312</t>
  </si>
  <si>
    <t xml:space="preserve">+91-8717454280</t>
  </si>
  <si>
    <t xml:space="preserve">LD0313</t>
  </si>
  <si>
    <t xml:space="preserve">+91-9405412872</t>
  </si>
  <si>
    <t xml:space="preserve">LD0314</t>
  </si>
  <si>
    <t xml:space="preserve">Girish Malhotra</t>
  </si>
  <si>
    <t xml:space="preserve">+91-7157196765</t>
  </si>
  <si>
    <t xml:space="preserve">LD0315</t>
  </si>
  <si>
    <t xml:space="preserve">Vijay Patel</t>
  </si>
  <si>
    <t xml:space="preserve">+91-9278099881</t>
  </si>
  <si>
    <t xml:space="preserve">LD0316</t>
  </si>
  <si>
    <t xml:space="preserve">Rahul Pandey</t>
  </si>
  <si>
    <t xml:space="preserve">+91-8676390962</t>
  </si>
  <si>
    <t xml:space="preserve">LD0317</t>
  </si>
  <si>
    <t xml:space="preserve">Pooja Tiwari</t>
  </si>
  <si>
    <t xml:space="preserve">+91-9305063707</t>
  </si>
  <si>
    <t xml:space="preserve">LD0318</t>
  </si>
  <si>
    <t xml:space="preserve">Sneha Rao</t>
  </si>
  <si>
    <t xml:space="preserve">+91-9736885255</t>
  </si>
  <si>
    <t xml:space="preserve">LD0319</t>
  </si>
  <si>
    <t xml:space="preserve">Harish Iyer</t>
  </si>
  <si>
    <t xml:space="preserve">+91-8521316564</t>
  </si>
  <si>
    <t xml:space="preserve">LD0320</t>
  </si>
  <si>
    <t xml:space="preserve">Vijay Mehta</t>
  </si>
  <si>
    <t xml:space="preserve">+91-9173694829</t>
  </si>
  <si>
    <t xml:space="preserve">LD0321</t>
  </si>
  <si>
    <t xml:space="preserve">Arun Bose</t>
  </si>
  <si>
    <t xml:space="preserve">+91-8311569839</t>
  </si>
  <si>
    <t xml:space="preserve">LD0322</t>
  </si>
  <si>
    <t xml:space="preserve">Manoj Krishnan</t>
  </si>
  <si>
    <t xml:space="preserve">+91-8363287430</t>
  </si>
  <si>
    <t xml:space="preserve">LD0323</t>
  </si>
  <si>
    <t xml:space="preserve">Sheela Arora</t>
  </si>
  <si>
    <t xml:space="preserve">+91-7370063907</t>
  </si>
  <si>
    <t xml:space="preserve">LD0324</t>
  </si>
  <si>
    <t xml:space="preserve">+91-9194954341</t>
  </si>
  <si>
    <t xml:space="preserve">LD0325</t>
  </si>
  <si>
    <t xml:space="preserve">Ramesh Kapoor</t>
  </si>
  <si>
    <t xml:space="preserve">+91-7038194331</t>
  </si>
  <si>
    <t xml:space="preserve">LD0326</t>
  </si>
  <si>
    <t xml:space="preserve">Arun Malhotra</t>
  </si>
  <si>
    <t xml:space="preserve">+91-8661139190</t>
  </si>
  <si>
    <t xml:space="preserve">LD0327</t>
  </si>
  <si>
    <t xml:space="preserve">Dinesh Krishnan</t>
  </si>
  <si>
    <t xml:space="preserve">+91-7388975191</t>
  </si>
  <si>
    <t xml:space="preserve">LD0328</t>
  </si>
  <si>
    <t xml:space="preserve">Priya Nair</t>
  </si>
  <si>
    <t xml:space="preserve">+91-9916776628</t>
  </si>
  <si>
    <t xml:space="preserve">LD0329</t>
  </si>
  <si>
    <t xml:space="preserve">Dinesh Verma</t>
  </si>
  <si>
    <t xml:space="preserve">+91-9514691232</t>
  </si>
  <si>
    <t xml:space="preserve">LD0330</t>
  </si>
  <si>
    <t xml:space="preserve">+91-8163793055</t>
  </si>
  <si>
    <t xml:space="preserve">LD0331</t>
  </si>
  <si>
    <t xml:space="preserve">Sneha Chopra</t>
  </si>
  <si>
    <t xml:space="preserve">+91-9001635679</t>
  </si>
  <si>
    <t xml:space="preserve">LD0332</t>
  </si>
  <si>
    <t xml:space="preserve">+91-9075098098</t>
  </si>
  <si>
    <t xml:space="preserve">LD0333</t>
  </si>
  <si>
    <t xml:space="preserve">Girish Reddy</t>
  </si>
  <si>
    <t xml:space="preserve">+91-8812866729</t>
  </si>
  <si>
    <t xml:space="preserve">LD0334</t>
  </si>
  <si>
    <t xml:space="preserve">Girish Jain</t>
  </si>
  <si>
    <t xml:space="preserve">+91-8651860418</t>
  </si>
  <si>
    <t xml:space="preserve">LD0335</t>
  </si>
  <si>
    <t xml:space="preserve">Lakshmi Taneja</t>
  </si>
  <si>
    <t xml:space="preserve">+91-8974377147</t>
  </si>
  <si>
    <t xml:space="preserve">LD0336</t>
  </si>
  <si>
    <t xml:space="preserve">+91-8777693476</t>
  </si>
  <si>
    <t xml:space="preserve">LD0337</t>
  </si>
  <si>
    <t xml:space="preserve">Rekha Reddy</t>
  </si>
  <si>
    <t xml:space="preserve">+91-8712823955</t>
  </si>
  <si>
    <t xml:space="preserve">LD0338</t>
  </si>
  <si>
    <t xml:space="preserve">+91-7479818130</t>
  </si>
  <si>
    <t xml:space="preserve">LD0339</t>
  </si>
  <si>
    <t xml:space="preserve">Sneha Verma</t>
  </si>
  <si>
    <t xml:space="preserve">+91-8274341142</t>
  </si>
  <si>
    <t xml:space="preserve">LD0340</t>
  </si>
  <si>
    <t xml:space="preserve">Usha Tiwari</t>
  </si>
  <si>
    <t xml:space="preserve">+91-7665491338</t>
  </si>
  <si>
    <t xml:space="preserve">LD0341</t>
  </si>
  <si>
    <t xml:space="preserve">Anita Agarwal</t>
  </si>
  <si>
    <t xml:space="preserve">+91-9236919760</t>
  </si>
  <si>
    <t xml:space="preserve">LD0342</t>
  </si>
  <si>
    <t xml:space="preserve">Deepa Mehta</t>
  </si>
  <si>
    <t xml:space="preserve">+91-9772243425</t>
  </si>
  <si>
    <t xml:space="preserve">LD0343</t>
  </si>
  <si>
    <t xml:space="preserve">+91-8607485061</t>
  </si>
  <si>
    <t xml:space="preserve">LD0344</t>
  </si>
  <si>
    <t xml:space="preserve">Dinesh Mukherjee</t>
  </si>
  <si>
    <t xml:space="preserve">+91-8779580390</t>
  </si>
  <si>
    <t xml:space="preserve">LD0345</t>
  </si>
  <si>
    <t xml:space="preserve">Santosh Joshi</t>
  </si>
  <si>
    <t xml:space="preserve">+91-8556083575</t>
  </si>
  <si>
    <t xml:space="preserve">LD0346</t>
  </si>
  <si>
    <t xml:space="preserve">+91-9609024860</t>
  </si>
  <si>
    <t xml:space="preserve">LD0347</t>
  </si>
  <si>
    <t xml:space="preserve">Divya Pillai</t>
  </si>
  <si>
    <t xml:space="preserve">+91-7143648854</t>
  </si>
  <si>
    <t xml:space="preserve">LD0348</t>
  </si>
  <si>
    <t xml:space="preserve">+91-9196592511</t>
  </si>
  <si>
    <t xml:space="preserve">LD0349</t>
  </si>
  <si>
    <t xml:space="preserve">+91-9349053478</t>
  </si>
  <si>
    <t xml:space="preserve">LD0350</t>
  </si>
  <si>
    <t xml:space="preserve">+91-8271569129</t>
  </si>
  <si>
    <t xml:space="preserve">LD0351</t>
  </si>
  <si>
    <t xml:space="preserve">+91-9296619514</t>
  </si>
  <si>
    <t xml:space="preserve">LD0352</t>
  </si>
  <si>
    <t xml:space="preserve">Geeta Malhotra</t>
  </si>
  <si>
    <t xml:space="preserve">+91-9693996602</t>
  </si>
  <si>
    <t xml:space="preserve">LD0353</t>
  </si>
  <si>
    <t xml:space="preserve">Priya Jain</t>
  </si>
  <si>
    <t xml:space="preserve">+91-9219394926</t>
  </si>
  <si>
    <t xml:space="preserve">LD0354</t>
  </si>
  <si>
    <t xml:space="preserve">Vivek Sharma</t>
  </si>
  <si>
    <t xml:space="preserve">+91-7998437532</t>
  </si>
  <si>
    <t xml:space="preserve">LD0355</t>
  </si>
  <si>
    <t xml:space="preserve">+91-9198684356</t>
  </si>
  <si>
    <t xml:space="preserve">LD0356</t>
  </si>
  <si>
    <t xml:space="preserve">Neha Chopra</t>
  </si>
  <si>
    <t xml:space="preserve">+91-8170226805</t>
  </si>
  <si>
    <t xml:space="preserve">LD0357</t>
  </si>
  <si>
    <t xml:space="preserve">Rohit Nair</t>
  </si>
  <si>
    <t xml:space="preserve">+91-8914229974</t>
  </si>
  <si>
    <t xml:space="preserve">LD0358</t>
  </si>
  <si>
    <t xml:space="preserve">Shobha Arora</t>
  </si>
  <si>
    <t xml:space="preserve">+91-9752857118</t>
  </si>
  <si>
    <t xml:space="preserve">LD0359</t>
  </si>
  <si>
    <t xml:space="preserve">Rajesh Bose</t>
  </si>
  <si>
    <t xml:space="preserve">+91-8987720744</t>
  </si>
  <si>
    <t xml:space="preserve">LD0360</t>
  </si>
  <si>
    <t xml:space="preserve">Manoj Mishra</t>
  </si>
  <si>
    <t xml:space="preserve">+91-9520587337</t>
  </si>
  <si>
    <t xml:space="preserve">LD0361</t>
  </si>
  <si>
    <t xml:space="preserve">Sanjay Gupta</t>
  </si>
  <si>
    <t xml:space="preserve">+91-9808748141</t>
  </si>
  <si>
    <t xml:space="preserve">LD0362</t>
  </si>
  <si>
    <t xml:space="preserve">Rajesh Desai</t>
  </si>
  <si>
    <t xml:space="preserve">+91-7459968487</t>
  </si>
  <si>
    <t xml:space="preserve">LD0363</t>
  </si>
  <si>
    <t xml:space="preserve">+91-7866258422</t>
  </si>
  <si>
    <t xml:space="preserve">LD0364</t>
  </si>
  <si>
    <t xml:space="preserve">Meera Gupta</t>
  </si>
  <si>
    <t xml:space="preserve">+91-7338278337</t>
  </si>
  <si>
    <t xml:space="preserve">LD0365</t>
  </si>
  <si>
    <t xml:space="preserve">Manoj Pillai</t>
  </si>
  <si>
    <t xml:space="preserve">+91-8233139215</t>
  </si>
  <si>
    <t xml:space="preserve">LD0366</t>
  </si>
  <si>
    <t xml:space="preserve">Ramesh Venkatesh</t>
  </si>
  <si>
    <t xml:space="preserve">+91-7753620104</t>
  </si>
  <si>
    <t xml:space="preserve">LD0367</t>
  </si>
  <si>
    <t xml:space="preserve">Usha Choudhary</t>
  </si>
  <si>
    <t xml:space="preserve">+91-9658053283</t>
  </si>
  <si>
    <t xml:space="preserve">LD0368</t>
  </si>
  <si>
    <t xml:space="preserve">Pooja Jain</t>
  </si>
  <si>
    <t xml:space="preserve">+91-7141326762</t>
  </si>
  <si>
    <t xml:space="preserve">LD0369</t>
  </si>
  <si>
    <t xml:space="preserve">Shobha Sethi</t>
  </si>
  <si>
    <t xml:space="preserve">+91-8692963143</t>
  </si>
  <si>
    <t xml:space="preserve">LD0370</t>
  </si>
  <si>
    <t xml:space="preserve">Vani Arora</t>
  </si>
  <si>
    <t xml:space="preserve">+91-9841973133</t>
  </si>
  <si>
    <t xml:space="preserve">LD0371</t>
  </si>
  <si>
    <t xml:space="preserve">Arun Agarwal</t>
  </si>
  <si>
    <t xml:space="preserve">+91-8935219023</t>
  </si>
  <si>
    <t xml:space="preserve">LD0372</t>
  </si>
  <si>
    <t xml:space="preserve">Meera Krishnan</t>
  </si>
  <si>
    <t xml:space="preserve">+91-8984122622</t>
  </si>
  <si>
    <t xml:space="preserve">LD0373</t>
  </si>
  <si>
    <t xml:space="preserve">Deepa Jain</t>
  </si>
  <si>
    <t xml:space="preserve">+91-9939198940</t>
  </si>
  <si>
    <t xml:space="preserve">LD0374</t>
  </si>
  <si>
    <t xml:space="preserve">Ravi Kapoor</t>
  </si>
  <si>
    <t xml:space="preserve">+91-8930185513</t>
  </si>
  <si>
    <t xml:space="preserve">LD0375</t>
  </si>
  <si>
    <t xml:space="preserve">Vijay Hegde</t>
  </si>
  <si>
    <t xml:space="preserve">+91-7619310716</t>
  </si>
  <si>
    <t xml:space="preserve">LD0376</t>
  </si>
  <si>
    <t xml:space="preserve">Rahul Arora</t>
  </si>
  <si>
    <t xml:space="preserve">+91-7349230287</t>
  </si>
  <si>
    <t xml:space="preserve">LD0377</t>
  </si>
  <si>
    <t xml:space="preserve">Ravi Sethi</t>
  </si>
  <si>
    <t xml:space="preserve">+91-8809183080</t>
  </si>
  <si>
    <t xml:space="preserve">LD0378</t>
  </si>
  <si>
    <t xml:space="preserve">Sheela Mehta</t>
  </si>
  <si>
    <t xml:space="preserve">+91-9450440116</t>
  </si>
  <si>
    <t xml:space="preserve">LD0379</t>
  </si>
  <si>
    <t xml:space="preserve">Anita Rao</t>
  </si>
  <si>
    <t xml:space="preserve">+91-8275093345</t>
  </si>
  <si>
    <t xml:space="preserve">LD0380</t>
  </si>
  <si>
    <t xml:space="preserve">Rahul Joshi</t>
  </si>
  <si>
    <t xml:space="preserve">+91-7123760374</t>
  </si>
  <si>
    <t xml:space="preserve">LD0381</t>
  </si>
  <si>
    <t xml:space="preserve">Santosh Grover</t>
  </si>
  <si>
    <t xml:space="preserve">+91-9787196099</t>
  </si>
  <si>
    <t xml:space="preserve">LD0382</t>
  </si>
  <si>
    <t xml:space="preserve">Ramesh Tiwari</t>
  </si>
  <si>
    <t xml:space="preserve">+91-9146310037</t>
  </si>
  <si>
    <t xml:space="preserve">LD0383</t>
  </si>
  <si>
    <t xml:space="preserve">Arun Joshi</t>
  </si>
  <si>
    <t xml:space="preserve">+91-8800947289</t>
  </si>
  <si>
    <t xml:space="preserve">LD0384</t>
  </si>
  <si>
    <t xml:space="preserve">Dinesh Sethi</t>
  </si>
  <si>
    <t xml:space="preserve">+91-7855532942</t>
  </si>
  <si>
    <t xml:space="preserve">LD0385</t>
  </si>
  <si>
    <t xml:space="preserve">Lakshmi Malhotra</t>
  </si>
  <si>
    <t xml:space="preserve">+91-7819668034</t>
  </si>
  <si>
    <t xml:space="preserve">LD0386</t>
  </si>
  <si>
    <t xml:space="preserve">+91-7221360157</t>
  </si>
  <si>
    <t xml:space="preserve">LD0387</t>
  </si>
  <si>
    <t xml:space="preserve">Meera Agarwal</t>
  </si>
  <si>
    <t xml:space="preserve">+91-7304762288</t>
  </si>
  <si>
    <t xml:space="preserve">LD0388</t>
  </si>
  <si>
    <t xml:space="preserve">Naveen Kumar</t>
  </si>
  <si>
    <t xml:space="preserve">+91-8635136170</t>
  </si>
  <si>
    <t xml:space="preserve">LD0389</t>
  </si>
  <si>
    <t xml:space="preserve">Rohit Banerjee</t>
  </si>
  <si>
    <t xml:space="preserve">+91-7392820287</t>
  </si>
  <si>
    <t xml:space="preserve">LD0390</t>
  </si>
  <si>
    <t xml:space="preserve">Harish Grover</t>
  </si>
  <si>
    <t xml:space="preserve">+91-7599276995</t>
  </si>
  <si>
    <t xml:space="preserve">LD0391</t>
  </si>
  <si>
    <t xml:space="preserve">+91-8137961605</t>
  </si>
  <si>
    <t xml:space="preserve">LD0392</t>
  </si>
  <si>
    <t xml:space="preserve">Deepa Desai</t>
  </si>
  <si>
    <t xml:space="preserve">+91-9007944039</t>
  </si>
  <si>
    <t xml:space="preserve">LD0393</t>
  </si>
  <si>
    <t xml:space="preserve">Deepa Chopra</t>
  </si>
  <si>
    <t xml:space="preserve">+91-8373258799</t>
  </si>
  <si>
    <t xml:space="preserve">LD0394</t>
  </si>
  <si>
    <t xml:space="preserve">Vivek Venkatesh</t>
  </si>
  <si>
    <t xml:space="preserve">+91-8819766651</t>
  </si>
  <si>
    <t xml:space="preserve">LD0395</t>
  </si>
  <si>
    <t xml:space="preserve">Divya Shah</t>
  </si>
  <si>
    <t xml:space="preserve">+91-9361151383</t>
  </si>
  <si>
    <t xml:space="preserve">LD0396</t>
  </si>
  <si>
    <t xml:space="preserve">Harish Pandey</t>
  </si>
  <si>
    <t xml:space="preserve">+91-9439853864</t>
  </si>
  <si>
    <t xml:space="preserve">LD0397</t>
  </si>
  <si>
    <t xml:space="preserve">Kavita Srinivasan</t>
  </si>
  <si>
    <t xml:space="preserve">+91-8887095179</t>
  </si>
  <si>
    <t xml:space="preserve">LD0398</t>
  </si>
  <si>
    <t xml:space="preserve">Poonam Mehta</t>
  </si>
  <si>
    <t xml:space="preserve">+91-8519692799</t>
  </si>
  <si>
    <t xml:space="preserve">LD0399</t>
  </si>
  <si>
    <t xml:space="preserve">Sunita Rao</t>
  </si>
  <si>
    <t xml:space="preserve">+91-8125939912</t>
  </si>
  <si>
    <t xml:space="preserve">LD0400</t>
  </si>
  <si>
    <t xml:space="preserve">Rekha Das</t>
  </si>
  <si>
    <t xml:space="preserve">+91-8923278280</t>
  </si>
  <si>
    <t xml:space="preserve">LD0401</t>
  </si>
  <si>
    <t xml:space="preserve">Anita Naidu</t>
  </si>
  <si>
    <t xml:space="preserve">+91-7337522524</t>
  </si>
  <si>
    <t xml:space="preserve">LD0402</t>
  </si>
  <si>
    <t xml:space="preserve">Suresh Jain</t>
  </si>
  <si>
    <t xml:space="preserve">+91-9025330352</t>
  </si>
  <si>
    <t xml:space="preserve">LD0403</t>
  </si>
  <si>
    <t xml:space="preserve">Anjali Krishnan</t>
  </si>
  <si>
    <t xml:space="preserve">+91-9174356771</t>
  </si>
  <si>
    <t xml:space="preserve">LD0404</t>
  </si>
  <si>
    <t xml:space="preserve">Rekha Jain</t>
  </si>
  <si>
    <t xml:space="preserve">+91-9454093342</t>
  </si>
  <si>
    <t xml:space="preserve">LD0405</t>
  </si>
  <si>
    <t xml:space="preserve">Shobha Hegde</t>
  </si>
  <si>
    <t xml:space="preserve">+91-8350744053</t>
  </si>
  <si>
    <t xml:space="preserve">LD0406</t>
  </si>
  <si>
    <t xml:space="preserve">Sunita Pandey</t>
  </si>
  <si>
    <t xml:space="preserve">+91-7981711197</t>
  </si>
  <si>
    <t xml:space="preserve">LD0407</t>
  </si>
  <si>
    <t xml:space="preserve">Ravi Tiwari</t>
  </si>
  <si>
    <t xml:space="preserve">+91-7818831400</t>
  </si>
  <si>
    <t xml:space="preserve">LD0408</t>
  </si>
  <si>
    <t xml:space="preserve">Divya Krishnan</t>
  </si>
  <si>
    <t xml:space="preserve">+91-8353034641</t>
  </si>
  <si>
    <t xml:space="preserve">LD0409</t>
  </si>
  <si>
    <t xml:space="preserve">+91-8050612542</t>
  </si>
  <si>
    <t xml:space="preserve">LD0410</t>
  </si>
  <si>
    <t xml:space="preserve">Sunita Singh</t>
  </si>
  <si>
    <t xml:space="preserve">+91-7295529750</t>
  </si>
  <si>
    <t xml:space="preserve">LD0411</t>
  </si>
  <si>
    <t xml:space="preserve">Rahul Khanna</t>
  </si>
  <si>
    <t xml:space="preserve">+91-7262829148</t>
  </si>
  <si>
    <t xml:space="preserve">LD0412</t>
  </si>
  <si>
    <t xml:space="preserve">+91-7399642631</t>
  </si>
  <si>
    <t xml:space="preserve">LD0413</t>
  </si>
  <si>
    <t xml:space="preserve">Divya Bhat</t>
  </si>
  <si>
    <t xml:space="preserve">+91-8058630789</t>
  </si>
  <si>
    <t xml:space="preserve">LD0414</t>
  </si>
  <si>
    <t xml:space="preserve">+91-9073966906</t>
  </si>
  <si>
    <t xml:space="preserve">LD0415</t>
  </si>
  <si>
    <t xml:space="preserve">Rekha Sharma</t>
  </si>
  <si>
    <t xml:space="preserve">+91-9255788146</t>
  </si>
  <si>
    <t xml:space="preserve">LD0416</t>
  </si>
  <si>
    <t xml:space="preserve">Sunita Srinivasan</t>
  </si>
  <si>
    <t xml:space="preserve">+91-8164994485</t>
  </si>
  <si>
    <t xml:space="preserve">LD0417</t>
  </si>
  <si>
    <t xml:space="preserve">Sunita Bedi</t>
  </si>
  <si>
    <t xml:space="preserve">+91-7069959514</t>
  </si>
  <si>
    <t xml:space="preserve">LD0418</t>
  </si>
  <si>
    <t xml:space="preserve">Geeta Mishra</t>
  </si>
  <si>
    <t xml:space="preserve">+91-7611581253</t>
  </si>
  <si>
    <t xml:space="preserve">LD0419</t>
  </si>
  <si>
    <t xml:space="preserve">Geeta Das</t>
  </si>
  <si>
    <t xml:space="preserve">+91-8202969517</t>
  </si>
  <si>
    <t xml:space="preserve">LD0420</t>
  </si>
  <si>
    <t xml:space="preserve">Rahul Malhotra</t>
  </si>
  <si>
    <t xml:space="preserve">+91-9157080642</t>
  </si>
  <si>
    <t xml:space="preserve">LD0421</t>
  </si>
  <si>
    <t xml:space="preserve">+91-7315478576</t>
  </si>
  <si>
    <t xml:space="preserve">LD0422</t>
  </si>
  <si>
    <t xml:space="preserve">Suresh Gupta</t>
  </si>
  <si>
    <t xml:space="preserve">+91-9740360934</t>
  </si>
  <si>
    <t xml:space="preserve">LD0423</t>
  </si>
  <si>
    <t xml:space="preserve">+91-8610220480</t>
  </si>
  <si>
    <t xml:space="preserve">LD0424</t>
  </si>
  <si>
    <t xml:space="preserve">Mohan Singh</t>
  </si>
  <si>
    <t xml:space="preserve">+91-7255338298</t>
  </si>
  <si>
    <t xml:space="preserve">LD0425</t>
  </si>
  <si>
    <t xml:space="preserve">Ramesh Nair</t>
  </si>
  <si>
    <t xml:space="preserve">+91-7586283193</t>
  </si>
  <si>
    <t xml:space="preserve">LD0426</t>
  </si>
  <si>
    <t xml:space="preserve">Dinesh Naidu</t>
  </si>
  <si>
    <t xml:space="preserve">+91-9596733644</t>
  </si>
  <si>
    <t xml:space="preserve">LD0427</t>
  </si>
  <si>
    <t xml:space="preserve">Dinesh Venkatesh</t>
  </si>
  <si>
    <t xml:space="preserve">+91-8063858722</t>
  </si>
  <si>
    <t xml:space="preserve">LD0428</t>
  </si>
  <si>
    <t xml:space="preserve">Lakshmi Hegde</t>
  </si>
  <si>
    <t xml:space="preserve">+91-8482468654</t>
  </si>
  <si>
    <t xml:space="preserve">LD0429</t>
  </si>
  <si>
    <t xml:space="preserve">Santosh Sharma</t>
  </si>
  <si>
    <t xml:space="preserve">+91-7727038157</t>
  </si>
  <si>
    <t xml:space="preserve">LD0430</t>
  </si>
  <si>
    <t xml:space="preserve">Rekha Patel</t>
  </si>
  <si>
    <t xml:space="preserve">+91-8508556616</t>
  </si>
  <si>
    <t xml:space="preserve">LD0431</t>
  </si>
  <si>
    <t xml:space="preserve">+91-8864738499</t>
  </si>
  <si>
    <t xml:space="preserve">LD0432</t>
  </si>
  <si>
    <t xml:space="preserve">Suresh Das</t>
  </si>
  <si>
    <t xml:space="preserve">+91-9394685534</t>
  </si>
  <si>
    <t xml:space="preserve">LD0433</t>
  </si>
  <si>
    <t xml:space="preserve">Divya Joshi</t>
  </si>
  <si>
    <t xml:space="preserve">+91-9077192862</t>
  </si>
  <si>
    <t xml:space="preserve">LD0434</t>
  </si>
  <si>
    <t xml:space="preserve">Divya Singh</t>
  </si>
  <si>
    <t xml:space="preserve">+91-9397261495</t>
  </si>
  <si>
    <t xml:space="preserve">LD0435</t>
  </si>
  <si>
    <t xml:space="preserve">Anita Taneja</t>
  </si>
  <si>
    <t xml:space="preserve">+91-8872416463</t>
  </si>
  <si>
    <t xml:space="preserve">LD0436</t>
  </si>
  <si>
    <t xml:space="preserve">+91-8598661815</t>
  </si>
  <si>
    <t xml:space="preserve">LD0437</t>
  </si>
  <si>
    <t xml:space="preserve">+91-9201164209</t>
  </si>
  <si>
    <t xml:space="preserve">LD0438</t>
  </si>
  <si>
    <t xml:space="preserve">Ravi Srinivasan</t>
  </si>
  <si>
    <t xml:space="preserve">+91-9692167961</t>
  </si>
  <si>
    <t xml:space="preserve">LD0439</t>
  </si>
  <si>
    <t xml:space="preserve">Sunil Iyer</t>
  </si>
  <si>
    <t xml:space="preserve">+91-7796491396</t>
  </si>
  <si>
    <t xml:space="preserve">LD0440</t>
  </si>
  <si>
    <t xml:space="preserve">Sunita Tiwari</t>
  </si>
  <si>
    <t xml:space="preserve">+91-8762937770</t>
  </si>
  <si>
    <t xml:space="preserve">LD0441</t>
  </si>
  <si>
    <t xml:space="preserve">Sanjay Bedi</t>
  </si>
  <si>
    <t xml:space="preserve">+91-9968996969</t>
  </si>
  <si>
    <t xml:space="preserve">LD0442</t>
  </si>
  <si>
    <t xml:space="preserve">Ramesh Gupta</t>
  </si>
  <si>
    <t xml:space="preserve">+91-8273596556</t>
  </si>
  <si>
    <t xml:space="preserve">LD0443</t>
  </si>
  <si>
    <t xml:space="preserve">Manoj Srinivasan</t>
  </si>
  <si>
    <t xml:space="preserve">+91-9840288263</t>
  </si>
  <si>
    <t xml:space="preserve">LD0444</t>
  </si>
  <si>
    <t xml:space="preserve">Poonam Joshi</t>
  </si>
  <si>
    <t xml:space="preserve">+91-8605461563</t>
  </si>
  <si>
    <t xml:space="preserve">LD0445</t>
  </si>
  <si>
    <t xml:space="preserve">Arun Patel</t>
  </si>
  <si>
    <t xml:space="preserve">+91-9917613862</t>
  </si>
  <si>
    <t xml:space="preserve">LD0446</t>
  </si>
  <si>
    <t xml:space="preserve">Dinesh Choudhary</t>
  </si>
  <si>
    <t xml:space="preserve">+91-7787685090</t>
  </si>
  <si>
    <t xml:space="preserve">LD0447</t>
  </si>
  <si>
    <t xml:space="preserve">+91-9621736517</t>
  </si>
  <si>
    <t xml:space="preserve">LD0448</t>
  </si>
  <si>
    <t xml:space="preserve">Rajesh Pandey</t>
  </si>
  <si>
    <t xml:space="preserve">+91-7222283051</t>
  </si>
  <si>
    <t xml:space="preserve">LD0449</t>
  </si>
  <si>
    <t xml:space="preserve">Poonam Reddy</t>
  </si>
  <si>
    <t xml:space="preserve">+91-8451693472</t>
  </si>
  <si>
    <t xml:space="preserve">LD0450</t>
  </si>
  <si>
    <t xml:space="preserve">Manoj Iyer</t>
  </si>
  <si>
    <t xml:space="preserve">+91-7756688166</t>
  </si>
  <si>
    <t xml:space="preserve">LD0451</t>
  </si>
  <si>
    <t xml:space="preserve">+91-9792260785</t>
  </si>
  <si>
    <t xml:space="preserve">LD0452</t>
  </si>
  <si>
    <t xml:space="preserve">Harish Jain</t>
  </si>
  <si>
    <t xml:space="preserve">+91-7729297993</t>
  </si>
  <si>
    <t xml:space="preserve">LD0453</t>
  </si>
  <si>
    <t xml:space="preserve">Kiran Verma</t>
  </si>
  <si>
    <t xml:space="preserve">+91-8326615482</t>
  </si>
  <si>
    <t xml:space="preserve">LD0454</t>
  </si>
  <si>
    <t xml:space="preserve">Vani Krishnan</t>
  </si>
  <si>
    <t xml:space="preserve">+91-8479869886</t>
  </si>
  <si>
    <t xml:space="preserve">LD0455</t>
  </si>
  <si>
    <t xml:space="preserve">+91-7954167613</t>
  </si>
  <si>
    <t xml:space="preserve">LD0456</t>
  </si>
  <si>
    <t xml:space="preserve">Santosh Pandey</t>
  </si>
  <si>
    <t xml:space="preserve">+91-9719394685</t>
  </si>
  <si>
    <t xml:space="preserve">LD0457</t>
  </si>
  <si>
    <t xml:space="preserve">Anita Joshi</t>
  </si>
  <si>
    <t xml:space="preserve">+91-7586169464</t>
  </si>
  <si>
    <t xml:space="preserve">LD0458</t>
  </si>
  <si>
    <t xml:space="preserve">Girish Shah</t>
  </si>
  <si>
    <t xml:space="preserve">+91-9077757571</t>
  </si>
  <si>
    <t xml:space="preserve">LD0459</t>
  </si>
  <si>
    <t xml:space="preserve">+91-9989253934</t>
  </si>
  <si>
    <t xml:space="preserve">LD0460</t>
  </si>
  <si>
    <t xml:space="preserve">Shobha Iyer</t>
  </si>
  <si>
    <t xml:space="preserve">+91-7592125408</t>
  </si>
  <si>
    <t xml:space="preserve">LD0461</t>
  </si>
  <si>
    <t xml:space="preserve">+91-7779438426</t>
  </si>
  <si>
    <t xml:space="preserve">LD0462</t>
  </si>
  <si>
    <t xml:space="preserve">+91-7160234227</t>
  </si>
  <si>
    <t xml:space="preserve">LD0463</t>
  </si>
  <si>
    <t xml:space="preserve">+91-7287316426</t>
  </si>
  <si>
    <t xml:space="preserve">LD0464</t>
  </si>
  <si>
    <t xml:space="preserve">Vijay Naidu</t>
  </si>
  <si>
    <t xml:space="preserve">+91-9455485886</t>
  </si>
  <si>
    <t xml:space="preserve">LD0465</t>
  </si>
  <si>
    <t xml:space="preserve">Vivek Gupta</t>
  </si>
  <si>
    <t xml:space="preserve">+91-8542727635</t>
  </si>
  <si>
    <t xml:space="preserve">LD0466</t>
  </si>
  <si>
    <t xml:space="preserve">Pooja Choudhary</t>
  </si>
  <si>
    <t xml:space="preserve">+91-8584889269</t>
  </si>
  <si>
    <t xml:space="preserve">LD0467</t>
  </si>
  <si>
    <t xml:space="preserve">Sneha Hegde</t>
  </si>
  <si>
    <t xml:space="preserve">+91-8626578118</t>
  </si>
  <si>
    <t xml:space="preserve">LD0468</t>
  </si>
  <si>
    <t xml:space="preserve">Harish Khanna</t>
  </si>
  <si>
    <t xml:space="preserve">+91-9620090649</t>
  </si>
  <si>
    <t xml:space="preserve">LD0469</t>
  </si>
  <si>
    <t xml:space="preserve">Lakshmi Naidu</t>
  </si>
  <si>
    <t xml:space="preserve">+91-7983976412</t>
  </si>
  <si>
    <t xml:space="preserve">LD0470</t>
  </si>
  <si>
    <t xml:space="preserve">Dinesh Das</t>
  </si>
  <si>
    <t xml:space="preserve">+91-7635753321</t>
  </si>
  <si>
    <t xml:space="preserve">LD0471</t>
  </si>
  <si>
    <t xml:space="preserve">Naveen Jain</t>
  </si>
  <si>
    <t xml:space="preserve">+91-9568964257</t>
  </si>
  <si>
    <t xml:space="preserve">LD0472</t>
  </si>
  <si>
    <t xml:space="preserve">Neha Kapoor</t>
  </si>
  <si>
    <t xml:space="preserve">+91-7489246760</t>
  </si>
  <si>
    <t xml:space="preserve">LD0473</t>
  </si>
  <si>
    <t xml:space="preserve">Priya Bose</t>
  </si>
  <si>
    <t xml:space="preserve">+91-7103645585</t>
  </si>
  <si>
    <t xml:space="preserve">LD0474</t>
  </si>
  <si>
    <t xml:space="preserve">Lakshmi Joshi</t>
  </si>
  <si>
    <t xml:space="preserve">+91-8226214901</t>
  </si>
  <si>
    <t xml:space="preserve">LD0475</t>
  </si>
  <si>
    <t xml:space="preserve">+91-9541252904</t>
  </si>
  <si>
    <t xml:space="preserve">LD0476</t>
  </si>
  <si>
    <t xml:space="preserve">Sunita Nair</t>
  </si>
  <si>
    <t xml:space="preserve">+91-8019015771</t>
  </si>
  <si>
    <t xml:space="preserve">LD0477</t>
  </si>
  <si>
    <t xml:space="preserve">+91-7657135237</t>
  </si>
  <si>
    <t xml:space="preserve">LD0478</t>
  </si>
  <si>
    <t xml:space="preserve">Sneha Choudhary</t>
  </si>
  <si>
    <t xml:space="preserve">+91-9041283351</t>
  </si>
  <si>
    <t xml:space="preserve">LD0479</t>
  </si>
  <si>
    <t xml:space="preserve">Usha Nair</t>
  </si>
  <si>
    <t xml:space="preserve">+91-7561219337</t>
  </si>
  <si>
    <t xml:space="preserve">LD0480</t>
  </si>
  <si>
    <t xml:space="preserve">+91-7176221287</t>
  </si>
  <si>
    <t xml:space="preserve">LD0481</t>
  </si>
  <si>
    <t xml:space="preserve">Ravi Venkatesh</t>
  </si>
  <si>
    <t xml:space="preserve">+91-8860527274</t>
  </si>
  <si>
    <t xml:space="preserve">LD0482</t>
  </si>
  <si>
    <t xml:space="preserve">Anjali Desai</t>
  </si>
  <si>
    <t xml:space="preserve">+91-9991257638</t>
  </si>
  <si>
    <t xml:space="preserve">LD0483</t>
  </si>
  <si>
    <t xml:space="preserve">+91-8511332387</t>
  </si>
  <si>
    <t xml:space="preserve">LD0484</t>
  </si>
  <si>
    <t xml:space="preserve">Sneha Mukherjee</t>
  </si>
  <si>
    <t xml:space="preserve">+91-8745770420</t>
  </si>
  <si>
    <t xml:space="preserve">LD0485</t>
  </si>
  <si>
    <t xml:space="preserve">Santosh Sethi</t>
  </si>
  <si>
    <t xml:space="preserve">+91-7682387459</t>
  </si>
  <si>
    <t xml:space="preserve">LD0486</t>
  </si>
  <si>
    <t xml:space="preserve">Ravi Hegde</t>
  </si>
  <si>
    <t xml:space="preserve">+91-7374687616</t>
  </si>
  <si>
    <t xml:space="preserve">LD0487</t>
  </si>
  <si>
    <t xml:space="preserve">Vani Desai</t>
  </si>
  <si>
    <t xml:space="preserve">+91-8072874788</t>
  </si>
  <si>
    <t xml:space="preserve">LD0488</t>
  </si>
  <si>
    <t xml:space="preserve">+91-8740848207</t>
  </si>
  <si>
    <t xml:space="preserve">LD0489</t>
  </si>
  <si>
    <t xml:space="preserve">+91-7292586379</t>
  </si>
  <si>
    <t xml:space="preserve">LD0490</t>
  </si>
  <si>
    <t xml:space="preserve">Rahul Grover</t>
  </si>
  <si>
    <t xml:space="preserve">+91-9689457086</t>
  </si>
  <si>
    <t xml:space="preserve">LD0491</t>
  </si>
  <si>
    <t xml:space="preserve">+91-8426081449</t>
  </si>
  <si>
    <t xml:space="preserve">LD0492</t>
  </si>
  <si>
    <t xml:space="preserve">Sanjay Mehta</t>
  </si>
  <si>
    <t xml:space="preserve">+91-7440011520</t>
  </si>
  <si>
    <t xml:space="preserve">LD0493</t>
  </si>
  <si>
    <t xml:space="preserve">Suresh Patel</t>
  </si>
  <si>
    <t xml:space="preserve">+91-9042233566</t>
  </si>
  <si>
    <t xml:space="preserve">LD0494</t>
  </si>
  <si>
    <t xml:space="preserve">Mohan Malhotra</t>
  </si>
  <si>
    <t xml:space="preserve">+91-9774841031</t>
  </si>
  <si>
    <t xml:space="preserve">LD0495</t>
  </si>
  <si>
    <t xml:space="preserve">+91-9262620494</t>
  </si>
  <si>
    <t xml:space="preserve">LD0496</t>
  </si>
  <si>
    <t xml:space="preserve">Sunita Kapoor</t>
  </si>
  <si>
    <t xml:space="preserve">+91-9008816917</t>
  </si>
  <si>
    <t xml:space="preserve">LD0497</t>
  </si>
  <si>
    <t xml:space="preserve">Naveen Bedi</t>
  </si>
  <si>
    <t xml:space="preserve">+91-7947631955</t>
  </si>
  <si>
    <t xml:space="preserve">LD0498</t>
  </si>
  <si>
    <t xml:space="preserve">Amit Taneja</t>
  </si>
  <si>
    <t xml:space="preserve">+91-7169196025</t>
  </si>
  <si>
    <t xml:space="preserve">LD0499</t>
  </si>
  <si>
    <t xml:space="preserve">Sneha Grover</t>
  </si>
  <si>
    <t xml:space="preserve">+91-9017846827</t>
  </si>
  <si>
    <t xml:space="preserve">LD0500</t>
  </si>
  <si>
    <t xml:space="preserve">+91-9564140958</t>
  </si>
  <si>
    <t xml:space="preserve">🔍  XLOOKUP QUICK LOOKUP — Enter Lead ID in C509 to auto-fetch customer details</t>
  </si>
  <si>
    <t xml:space="preserve">Lead ID →</t>
  </si>
  <si>
    <t xml:space="preserve">Mobile</t>
  </si>
  <si>
    <t xml:space="preserve">Status</t>
  </si>
  <si>
    <t xml:space="preserve">Executive</t>
  </si>
  <si>
    <t xml:space="preserve">↑ Type any Lead ID</t>
  </si>
  <si>
    <t xml:space="preserve">Formula used: =XLOOKUP($A$509, $A$4:$A$503, [return_column], "Not Found")  |  Change Lead ID in A509 to look up any record</t>
  </si>
  <si>
    <t xml:space="preserve">🏆  SALES EXECUTIVE PERFORMANCE SCORECARD  |  Auto-calculated KPIs  |  FY 2024-25</t>
  </si>
  <si>
    <t xml:space="preserve">Live from Lead Management &amp; Booking data  |  COUNTIFS / SUMIFS auto-tracking</t>
  </si>
  <si>
    <t xml:space="preserve">Rank</t>
  </si>
  <si>
    <t xml:space="preserve">Executive Name</t>
  </si>
  <si>
    <t xml:space="preserve">Leads Assigned</t>
  </si>
  <si>
    <t xml:space="preserve">Calls Made</t>
  </si>
  <si>
    <t xml:space="preserve">Site Visits</t>
  </si>
  <si>
    <t xml:space="preserve">Bookings</t>
  </si>
  <si>
    <t xml:space="preserve">Revenue (₹)</t>
  </si>
  <si>
    <t xml:space="preserve">Conversion %</t>
  </si>
  <si>
    <t xml:space="preserve">Avg Deal Size (₹)</t>
  </si>
  <si>
    <t xml:space="preserve">Rating</t>
  </si>
  <si>
    <t xml:space="preserve">TEAM TOTAL / AVG</t>
  </si>
  <si>
    <t xml:space="preserve">🔍  XLOOKUP / INDEX-MATCH EXECUTIVE DRILL-DOWN — Type any executive name in B20</t>
  </si>
  <si>
    <t xml:space="preserve">Executive →</t>
  </si>
  <si>
    <t xml:space="preserve">Leads</t>
  </si>
  <si>
    <t xml:space="preserve">Calls</t>
  </si>
  <si>
    <t xml:space="preserve">Conv%</t>
  </si>
  <si>
    <t xml:space="preserve">Avg Deal</t>
  </si>
  <si>
    <t xml:space="preserve">Formula: =INDEX([return_range], MATCH($B$20, $B$4:$B$13, 0))  |  Change executive name in B20 to fetch any executive's full scorecard</t>
  </si>
  <si>
    <t xml:space="preserve">📋  BOOKING MANAGEMENT — CONFIRMED SALES REGISTER  |  85 Bookings  |  FY 2024-25</t>
  </si>
  <si>
    <t xml:space="preserve">Confirmed Transactions  |  Linked to Lead Management  |  Revenue Tracking</t>
  </si>
  <si>
    <t xml:space="preserve">Booking ID</t>
  </si>
  <si>
    <t xml:space="preserve">Property Value (₹)</t>
  </si>
  <si>
    <t xml:space="preserve">Booking Amount (₹)</t>
  </si>
  <si>
    <t xml:space="preserve">Booking Date</t>
  </si>
  <si>
    <t xml:space="preserve">BK0001</t>
  </si>
  <si>
    <t xml:space="preserve">BK0002</t>
  </si>
  <si>
    <t xml:space="preserve">BK0003</t>
  </si>
  <si>
    <t xml:space="preserve">BK0004</t>
  </si>
  <si>
    <t xml:space="preserve">BK0005</t>
  </si>
  <si>
    <t xml:space="preserve">BK0006</t>
  </si>
  <si>
    <t xml:space="preserve">BK0007</t>
  </si>
  <si>
    <t xml:space="preserve">BK0008</t>
  </si>
  <si>
    <t xml:space="preserve">BK0009</t>
  </si>
  <si>
    <t xml:space="preserve">BK0010</t>
  </si>
  <si>
    <t xml:space="preserve">BK0011</t>
  </si>
  <si>
    <t xml:space="preserve">BK0012</t>
  </si>
  <si>
    <t xml:space="preserve">BK0013</t>
  </si>
  <si>
    <t xml:space="preserve">BK0014</t>
  </si>
  <si>
    <t xml:space="preserve">BK0015</t>
  </si>
  <si>
    <t xml:space="preserve">BK0016</t>
  </si>
  <si>
    <t xml:space="preserve">BK0017</t>
  </si>
  <si>
    <t xml:space="preserve">BK0018</t>
  </si>
  <si>
    <t xml:space="preserve">BK0019</t>
  </si>
  <si>
    <t xml:space="preserve">BK0020</t>
  </si>
  <si>
    <t xml:space="preserve">BK0021</t>
  </si>
  <si>
    <t xml:space="preserve">BK0022</t>
  </si>
  <si>
    <t xml:space="preserve">BK0023</t>
  </si>
  <si>
    <t xml:space="preserve">BK0024</t>
  </si>
  <si>
    <t xml:space="preserve">BK0025</t>
  </si>
  <si>
    <t xml:space="preserve">BK0026</t>
  </si>
  <si>
    <t xml:space="preserve">BK0027</t>
  </si>
  <si>
    <t xml:space="preserve">BK0028</t>
  </si>
  <si>
    <t xml:space="preserve">BK0029</t>
  </si>
  <si>
    <t xml:space="preserve">BK0030</t>
  </si>
  <si>
    <t xml:space="preserve">BK0031</t>
  </si>
  <si>
    <t xml:space="preserve">BK0032</t>
  </si>
  <si>
    <t xml:space="preserve">BK0033</t>
  </si>
  <si>
    <t xml:space="preserve">BK0034</t>
  </si>
  <si>
    <t xml:space="preserve">BK0035</t>
  </si>
  <si>
    <t xml:space="preserve">BK0036</t>
  </si>
  <si>
    <t xml:space="preserve">BK0037</t>
  </si>
  <si>
    <t xml:space="preserve">BK0038</t>
  </si>
  <si>
    <t xml:space="preserve">BK0039</t>
  </si>
  <si>
    <t xml:space="preserve">BK0040</t>
  </si>
  <si>
    <t xml:space="preserve">BK0041</t>
  </si>
  <si>
    <t xml:space="preserve">BK0042</t>
  </si>
  <si>
    <t xml:space="preserve">BK0043</t>
  </si>
  <si>
    <t xml:space="preserve">BK0044</t>
  </si>
  <si>
    <t xml:space="preserve">BK0045</t>
  </si>
  <si>
    <t xml:space="preserve">BK0046</t>
  </si>
  <si>
    <t xml:space="preserve">BK0047</t>
  </si>
  <si>
    <t xml:space="preserve">BK0048</t>
  </si>
  <si>
    <t xml:space="preserve">BK0049</t>
  </si>
  <si>
    <t xml:space="preserve">BK0050</t>
  </si>
  <si>
    <t xml:space="preserve">BK0051</t>
  </si>
  <si>
    <t xml:space="preserve">BK0052</t>
  </si>
  <si>
    <t xml:space="preserve">BK0053</t>
  </si>
  <si>
    <t xml:space="preserve">BK0054</t>
  </si>
  <si>
    <t xml:space="preserve">BK0055</t>
  </si>
  <si>
    <t xml:space="preserve">BK0056</t>
  </si>
  <si>
    <t xml:space="preserve">BK0057</t>
  </si>
  <si>
    <t xml:space="preserve">BK0058</t>
  </si>
  <si>
    <t xml:space="preserve">BK0059</t>
  </si>
  <si>
    <t xml:space="preserve">BK0060</t>
  </si>
  <si>
    <t xml:space="preserve">BK0061</t>
  </si>
  <si>
    <t xml:space="preserve">BK0062</t>
  </si>
  <si>
    <t xml:space="preserve">BK0063</t>
  </si>
  <si>
    <t xml:space="preserve">BK0064</t>
  </si>
  <si>
    <t xml:space="preserve">BK0065</t>
  </si>
  <si>
    <t xml:space="preserve">BK0066</t>
  </si>
  <si>
    <t xml:space="preserve">BK0067</t>
  </si>
  <si>
    <t xml:space="preserve">BK0068</t>
  </si>
  <si>
    <t xml:space="preserve">BK0069</t>
  </si>
  <si>
    <t xml:space="preserve">BK0070</t>
  </si>
  <si>
    <t xml:space="preserve">BK0071</t>
  </si>
  <si>
    <t xml:space="preserve">BK0072</t>
  </si>
  <si>
    <t xml:space="preserve">BK0073</t>
  </si>
  <si>
    <t xml:space="preserve">BK0074</t>
  </si>
  <si>
    <t xml:space="preserve">BK0075</t>
  </si>
  <si>
    <t xml:space="preserve">BK0076</t>
  </si>
  <si>
    <t xml:space="preserve">BK0077</t>
  </si>
  <si>
    <t xml:space="preserve">BK0078</t>
  </si>
  <si>
    <t xml:space="preserve">BK0079</t>
  </si>
  <si>
    <t xml:space="preserve">BK0080</t>
  </si>
  <si>
    <t xml:space="preserve">BK0081</t>
  </si>
  <si>
    <t xml:space="preserve">BK0082</t>
  </si>
  <si>
    <t xml:space="preserve">BK0083</t>
  </si>
  <si>
    <t xml:space="preserve">BK0084</t>
  </si>
  <si>
    <t xml:space="preserve">BK0085</t>
  </si>
  <si>
    <t xml:space="preserve">TOTAL</t>
  </si>
  <si>
    <t xml:space="preserve">💰  PAYMENT COLLECTION TRACKER  |  85 Accounts  |  FY 2024-25</t>
  </si>
  <si>
    <t xml:space="preserve">Live Balance &amp; Payment Status Tracking  |  Auto-calculates Outstanding &amp; % Collected</t>
  </si>
  <si>
    <t xml:space="preserve">Total Value (₹)</t>
  </si>
  <si>
    <t xml:space="preserve">Amount Received (₹)</t>
  </si>
  <si>
    <t xml:space="preserve">Balance (₹)</t>
  </si>
  <si>
    <t xml:space="preserve">% Collected</t>
  </si>
  <si>
    <t xml:space="preserve">Payment Status</t>
  </si>
  <si>
    <t xml:space="preserve">Next Due Date</t>
  </si>
  <si>
    <t xml:space="preserve">On Schedule</t>
  </si>
  <si>
    <t xml:space="preserve">Overdue</t>
  </si>
  <si>
    <t xml:space="preserve">Partial</t>
  </si>
  <si>
    <t xml:space="preserve">TOTALS</t>
  </si>
  <si>
    <t xml:space="preserve">🏗️  SITE VISIT MANAGEMENT REGISTER  |  281 Visits  |  FY 2024-25</t>
  </si>
  <si>
    <t xml:space="preserve">Site Visit Tracking, Feedback Collection &amp; Follow-up Management</t>
  </si>
  <si>
    <t xml:space="preserve">Visit ID</t>
  </si>
  <si>
    <t xml:space="preserve">Visit Date</t>
  </si>
  <si>
    <t xml:space="preserve">Feedback</t>
  </si>
  <si>
    <t xml:space="preserve">Follow-up?</t>
  </si>
  <si>
    <t xml:space="preserve">SV0001</t>
  </si>
  <si>
    <t xml:space="preserve">Interested - Needs Discussion</t>
  </si>
  <si>
    <t xml:space="preserve">Yes</t>
  </si>
  <si>
    <t xml:space="preserve">SV0002</t>
  </si>
  <si>
    <t xml:space="preserve">Comparing options</t>
  </si>
  <si>
    <t xml:space="preserve">No</t>
  </si>
  <si>
    <t xml:space="preserve">SV0003</t>
  </si>
  <si>
    <t xml:space="preserve">Needs family visit</t>
  </si>
  <si>
    <t xml:space="preserve">SV0004</t>
  </si>
  <si>
    <t xml:space="preserve">Ready to book</t>
  </si>
  <si>
    <t xml:space="preserve">SV0005</t>
  </si>
  <si>
    <t xml:space="preserve">SV0006</t>
  </si>
  <si>
    <t xml:space="preserve">Price concern</t>
  </si>
  <si>
    <t xml:space="preserve">SV0007</t>
  </si>
  <si>
    <t xml:space="preserve">SV0008</t>
  </si>
  <si>
    <t xml:space="preserve">SV0009</t>
  </si>
  <si>
    <t xml:space="preserve">SV0010</t>
  </si>
  <si>
    <t xml:space="preserve">SV0011</t>
  </si>
  <si>
    <t xml:space="preserve">Very Interested</t>
  </si>
  <si>
    <t xml:space="preserve">SV0012</t>
  </si>
  <si>
    <t xml:space="preserve">Liked the project</t>
  </si>
  <si>
    <t xml:space="preserve">SV0013</t>
  </si>
  <si>
    <t xml:space="preserve">SV0014</t>
  </si>
  <si>
    <t xml:space="preserve">SV0015</t>
  </si>
  <si>
    <t xml:space="preserve">SV0016</t>
  </si>
  <si>
    <t xml:space="preserve">SV0017</t>
  </si>
  <si>
    <t xml:space="preserve">Location concern</t>
  </si>
  <si>
    <t xml:space="preserve">SV0018</t>
  </si>
  <si>
    <t xml:space="preserve">SV0019</t>
  </si>
  <si>
    <t xml:space="preserve">SV0020</t>
  </si>
  <si>
    <t xml:space="preserve">SV0021</t>
  </si>
  <si>
    <t xml:space="preserve">SV0022</t>
  </si>
  <si>
    <t xml:space="preserve">SV0023</t>
  </si>
  <si>
    <t xml:space="preserve">SV0024</t>
  </si>
  <si>
    <t xml:space="preserve">SV0025</t>
  </si>
  <si>
    <t xml:space="preserve">SV0026</t>
  </si>
  <si>
    <t xml:space="preserve">Positive - Follow-up needed</t>
  </si>
  <si>
    <t xml:space="preserve">SV0027</t>
  </si>
  <si>
    <t xml:space="preserve">SV0028</t>
  </si>
  <si>
    <t xml:space="preserve">SV0029</t>
  </si>
  <si>
    <t xml:space="preserve">SV0030</t>
  </si>
  <si>
    <t xml:space="preserve">SV0031</t>
  </si>
  <si>
    <t xml:space="preserve">SV0032</t>
  </si>
  <si>
    <t xml:space="preserve">SV0033</t>
  </si>
  <si>
    <t xml:space="preserve">SV0034</t>
  </si>
  <si>
    <t xml:space="preserve">SV0035</t>
  </si>
  <si>
    <t xml:space="preserve">SV0036</t>
  </si>
  <si>
    <t xml:space="preserve">SV0037</t>
  </si>
  <si>
    <t xml:space="preserve">SV0038</t>
  </si>
  <si>
    <t xml:space="preserve">SV0039</t>
  </si>
  <si>
    <t xml:space="preserve">SV0040</t>
  </si>
  <si>
    <t xml:space="preserve">SV0041</t>
  </si>
  <si>
    <t xml:space="preserve">SV0042</t>
  </si>
  <si>
    <t xml:space="preserve">SV0043</t>
  </si>
  <si>
    <t xml:space="preserve">SV0044</t>
  </si>
  <si>
    <t xml:space="preserve">SV0045</t>
  </si>
  <si>
    <t xml:space="preserve">SV0046</t>
  </si>
  <si>
    <t xml:space="preserve">SV0047</t>
  </si>
  <si>
    <t xml:space="preserve">SV0048</t>
  </si>
  <si>
    <t xml:space="preserve">SV0049</t>
  </si>
  <si>
    <t xml:space="preserve">SV0050</t>
  </si>
  <si>
    <t xml:space="preserve">SV0051</t>
  </si>
  <si>
    <t xml:space="preserve">SV0052</t>
  </si>
  <si>
    <t xml:space="preserve">SV0053</t>
  </si>
  <si>
    <t xml:space="preserve">SV0054</t>
  </si>
  <si>
    <t xml:space="preserve">SV0055</t>
  </si>
  <si>
    <t xml:space="preserve">SV0056</t>
  </si>
  <si>
    <t xml:space="preserve">SV0057</t>
  </si>
  <si>
    <t xml:space="preserve">SV0058</t>
  </si>
  <si>
    <t xml:space="preserve">SV0059</t>
  </si>
  <si>
    <t xml:space="preserve">SV0060</t>
  </si>
  <si>
    <t xml:space="preserve">SV0061</t>
  </si>
  <si>
    <t xml:space="preserve">SV0062</t>
  </si>
  <si>
    <t xml:space="preserve">SV0063</t>
  </si>
  <si>
    <t xml:space="preserve">SV0064</t>
  </si>
  <si>
    <t xml:space="preserve">SV0065</t>
  </si>
  <si>
    <t xml:space="preserve">SV0066</t>
  </si>
  <si>
    <t xml:space="preserve">SV0067</t>
  </si>
  <si>
    <t xml:space="preserve">SV0068</t>
  </si>
  <si>
    <t xml:space="preserve">SV0069</t>
  </si>
  <si>
    <t xml:space="preserve">SV0070</t>
  </si>
  <si>
    <t xml:space="preserve">SV0071</t>
  </si>
  <si>
    <t xml:space="preserve">SV0072</t>
  </si>
  <si>
    <t xml:space="preserve">SV0073</t>
  </si>
  <si>
    <t xml:space="preserve">SV0074</t>
  </si>
  <si>
    <t xml:space="preserve">SV0075</t>
  </si>
  <si>
    <t xml:space="preserve">SV0076</t>
  </si>
  <si>
    <t xml:space="preserve">SV0077</t>
  </si>
  <si>
    <t xml:space="preserve">SV0078</t>
  </si>
  <si>
    <t xml:space="preserve">SV0079</t>
  </si>
  <si>
    <t xml:space="preserve">SV0080</t>
  </si>
  <si>
    <t xml:space="preserve">SV0081</t>
  </si>
  <si>
    <t xml:space="preserve">SV0082</t>
  </si>
  <si>
    <t xml:space="preserve">SV0083</t>
  </si>
  <si>
    <t xml:space="preserve">SV0084</t>
  </si>
  <si>
    <t xml:space="preserve">SV0085</t>
  </si>
  <si>
    <t xml:space="preserve">SV0086</t>
  </si>
  <si>
    <t xml:space="preserve">SV0087</t>
  </si>
  <si>
    <t xml:space="preserve">SV0088</t>
  </si>
  <si>
    <t xml:space="preserve">SV0089</t>
  </si>
  <si>
    <t xml:space="preserve">SV0090</t>
  </si>
  <si>
    <t xml:space="preserve">SV0091</t>
  </si>
  <si>
    <t xml:space="preserve">SV0092</t>
  </si>
  <si>
    <t xml:space="preserve">SV0093</t>
  </si>
  <si>
    <t xml:space="preserve">SV0094</t>
  </si>
  <si>
    <t xml:space="preserve">SV0095</t>
  </si>
  <si>
    <t xml:space="preserve">SV0096</t>
  </si>
  <si>
    <t xml:space="preserve">SV0097</t>
  </si>
  <si>
    <t xml:space="preserve">SV0098</t>
  </si>
  <si>
    <t xml:space="preserve">SV0099</t>
  </si>
  <si>
    <t xml:space="preserve">SV0100</t>
  </si>
  <si>
    <t xml:space="preserve">SV0101</t>
  </si>
  <si>
    <t xml:space="preserve">SV0102</t>
  </si>
  <si>
    <t xml:space="preserve">SV0103</t>
  </si>
  <si>
    <t xml:space="preserve">SV0104</t>
  </si>
  <si>
    <t xml:space="preserve">SV0105</t>
  </si>
  <si>
    <t xml:space="preserve">SV0106</t>
  </si>
  <si>
    <t xml:space="preserve">SV0107</t>
  </si>
  <si>
    <t xml:space="preserve">SV0108</t>
  </si>
  <si>
    <t xml:space="preserve">SV0109</t>
  </si>
  <si>
    <t xml:space="preserve">SV0110</t>
  </si>
  <si>
    <t xml:space="preserve">SV0111</t>
  </si>
  <si>
    <t xml:space="preserve">SV0112</t>
  </si>
  <si>
    <t xml:space="preserve">SV0113</t>
  </si>
  <si>
    <t xml:space="preserve">SV0114</t>
  </si>
  <si>
    <t xml:space="preserve">SV0115</t>
  </si>
  <si>
    <t xml:space="preserve">SV0116</t>
  </si>
  <si>
    <t xml:space="preserve">SV0117</t>
  </si>
  <si>
    <t xml:space="preserve">SV0118</t>
  </si>
  <si>
    <t xml:space="preserve">SV0119</t>
  </si>
  <si>
    <t xml:space="preserve">SV0120</t>
  </si>
  <si>
    <t xml:space="preserve">SV0121</t>
  </si>
  <si>
    <t xml:space="preserve">SV0122</t>
  </si>
  <si>
    <t xml:space="preserve">SV0123</t>
  </si>
  <si>
    <t xml:space="preserve">SV0124</t>
  </si>
  <si>
    <t xml:space="preserve">SV0125</t>
  </si>
  <si>
    <t xml:space="preserve">SV0126</t>
  </si>
  <si>
    <t xml:space="preserve">SV0127</t>
  </si>
  <si>
    <t xml:space="preserve">SV0128</t>
  </si>
  <si>
    <t xml:space="preserve">SV0129</t>
  </si>
  <si>
    <t xml:space="preserve">SV0130</t>
  </si>
  <si>
    <t xml:space="preserve">SV0131</t>
  </si>
  <si>
    <t xml:space="preserve">SV0132</t>
  </si>
  <si>
    <t xml:space="preserve">SV0133</t>
  </si>
  <si>
    <t xml:space="preserve">SV0134</t>
  </si>
  <si>
    <t xml:space="preserve">SV0135</t>
  </si>
  <si>
    <t xml:space="preserve">SV0136</t>
  </si>
  <si>
    <t xml:space="preserve">SV0137</t>
  </si>
  <si>
    <t xml:space="preserve">SV0138</t>
  </si>
  <si>
    <t xml:space="preserve">SV0139</t>
  </si>
  <si>
    <t xml:space="preserve">SV0140</t>
  </si>
  <si>
    <t xml:space="preserve">SV0141</t>
  </si>
  <si>
    <t xml:space="preserve">SV0142</t>
  </si>
  <si>
    <t xml:space="preserve">SV0143</t>
  </si>
  <si>
    <t xml:space="preserve">SV0144</t>
  </si>
  <si>
    <t xml:space="preserve">SV0145</t>
  </si>
  <si>
    <t xml:space="preserve">SV0146</t>
  </si>
  <si>
    <t xml:space="preserve">SV0147</t>
  </si>
  <si>
    <t xml:space="preserve">SV0148</t>
  </si>
  <si>
    <t xml:space="preserve">SV0149</t>
  </si>
  <si>
    <t xml:space="preserve">SV0150</t>
  </si>
  <si>
    <t xml:space="preserve">SV0151</t>
  </si>
  <si>
    <t xml:space="preserve">SV0152</t>
  </si>
  <si>
    <t xml:space="preserve">SV0153</t>
  </si>
  <si>
    <t xml:space="preserve">SV0154</t>
  </si>
  <si>
    <t xml:space="preserve">SV0155</t>
  </si>
  <si>
    <t xml:space="preserve">SV0156</t>
  </si>
  <si>
    <t xml:space="preserve">SV0157</t>
  </si>
  <si>
    <t xml:space="preserve">SV0158</t>
  </si>
  <si>
    <t xml:space="preserve">SV0159</t>
  </si>
  <si>
    <t xml:space="preserve">SV0160</t>
  </si>
  <si>
    <t xml:space="preserve">SV0161</t>
  </si>
  <si>
    <t xml:space="preserve">SV0162</t>
  </si>
  <si>
    <t xml:space="preserve">SV0163</t>
  </si>
  <si>
    <t xml:space="preserve">SV0164</t>
  </si>
  <si>
    <t xml:space="preserve">SV0165</t>
  </si>
  <si>
    <t xml:space="preserve">SV0166</t>
  </si>
  <si>
    <t xml:space="preserve">SV0167</t>
  </si>
  <si>
    <t xml:space="preserve">SV0168</t>
  </si>
  <si>
    <t xml:space="preserve">SV0169</t>
  </si>
  <si>
    <t xml:space="preserve">SV0170</t>
  </si>
  <si>
    <t xml:space="preserve">SV0171</t>
  </si>
  <si>
    <t xml:space="preserve">SV0172</t>
  </si>
  <si>
    <t xml:space="preserve">SV0173</t>
  </si>
  <si>
    <t xml:space="preserve">SV0174</t>
  </si>
  <si>
    <t xml:space="preserve">SV0175</t>
  </si>
  <si>
    <t xml:space="preserve">SV0176</t>
  </si>
  <si>
    <t xml:space="preserve">SV0177</t>
  </si>
  <si>
    <t xml:space="preserve">SV0178</t>
  </si>
  <si>
    <t xml:space="preserve">SV0179</t>
  </si>
  <si>
    <t xml:space="preserve">SV0180</t>
  </si>
  <si>
    <t xml:space="preserve">SV0181</t>
  </si>
  <si>
    <t xml:space="preserve">SV0182</t>
  </si>
  <si>
    <t xml:space="preserve">SV0183</t>
  </si>
  <si>
    <t xml:space="preserve">SV0184</t>
  </si>
  <si>
    <t xml:space="preserve">SV0185</t>
  </si>
  <si>
    <t xml:space="preserve">SV0186</t>
  </si>
  <si>
    <t xml:space="preserve">SV0187</t>
  </si>
  <si>
    <t xml:space="preserve">SV0188</t>
  </si>
  <si>
    <t xml:space="preserve">SV0189</t>
  </si>
  <si>
    <t xml:space="preserve">SV0190</t>
  </si>
  <si>
    <t xml:space="preserve">SV0191</t>
  </si>
  <si>
    <t xml:space="preserve">SV0192</t>
  </si>
  <si>
    <t xml:space="preserve">SV0193</t>
  </si>
  <si>
    <t xml:space="preserve">SV0194</t>
  </si>
  <si>
    <t xml:space="preserve">SV0195</t>
  </si>
  <si>
    <t xml:space="preserve">SV0196</t>
  </si>
  <si>
    <t xml:space="preserve">SV0197</t>
  </si>
  <si>
    <t xml:space="preserve">SV0198</t>
  </si>
  <si>
    <t xml:space="preserve">SV0199</t>
  </si>
  <si>
    <t xml:space="preserve">SV0200</t>
  </si>
  <si>
    <t xml:space="preserve">SV0201</t>
  </si>
  <si>
    <t xml:space="preserve">SV0202</t>
  </si>
  <si>
    <t xml:space="preserve">SV0203</t>
  </si>
  <si>
    <t xml:space="preserve">SV0204</t>
  </si>
  <si>
    <t xml:space="preserve">SV0205</t>
  </si>
  <si>
    <t xml:space="preserve">SV0206</t>
  </si>
  <si>
    <t xml:space="preserve">SV0207</t>
  </si>
  <si>
    <t xml:space="preserve">SV0208</t>
  </si>
  <si>
    <t xml:space="preserve">SV0209</t>
  </si>
  <si>
    <t xml:space="preserve">SV0210</t>
  </si>
  <si>
    <t xml:space="preserve">SV0211</t>
  </si>
  <si>
    <t xml:space="preserve">SV0212</t>
  </si>
  <si>
    <t xml:space="preserve">SV0213</t>
  </si>
  <si>
    <t xml:space="preserve">SV0214</t>
  </si>
  <si>
    <t xml:space="preserve">SV0215</t>
  </si>
  <si>
    <t xml:space="preserve">SV0216</t>
  </si>
  <si>
    <t xml:space="preserve">SV0217</t>
  </si>
  <si>
    <t xml:space="preserve">SV0218</t>
  </si>
  <si>
    <t xml:space="preserve">SV0219</t>
  </si>
  <si>
    <t xml:space="preserve">SV0220</t>
  </si>
  <si>
    <t xml:space="preserve">SV0221</t>
  </si>
  <si>
    <t xml:space="preserve">SV0222</t>
  </si>
  <si>
    <t xml:space="preserve">SV0223</t>
  </si>
  <si>
    <t xml:space="preserve">SV0224</t>
  </si>
  <si>
    <t xml:space="preserve">SV0225</t>
  </si>
  <si>
    <t xml:space="preserve">SV0226</t>
  </si>
  <si>
    <t xml:space="preserve">SV0227</t>
  </si>
  <si>
    <t xml:space="preserve">SV0228</t>
  </si>
  <si>
    <t xml:space="preserve">SV0229</t>
  </si>
  <si>
    <t xml:space="preserve">SV0230</t>
  </si>
  <si>
    <t xml:space="preserve">SV0231</t>
  </si>
  <si>
    <t xml:space="preserve">SV0232</t>
  </si>
  <si>
    <t xml:space="preserve">SV0233</t>
  </si>
  <si>
    <t xml:space="preserve">SV0234</t>
  </si>
  <si>
    <t xml:space="preserve">SV0235</t>
  </si>
  <si>
    <t xml:space="preserve">SV0236</t>
  </si>
  <si>
    <t xml:space="preserve">SV0237</t>
  </si>
  <si>
    <t xml:space="preserve">SV0238</t>
  </si>
  <si>
    <t xml:space="preserve">SV0239</t>
  </si>
  <si>
    <t xml:space="preserve">SV0240</t>
  </si>
  <si>
    <t xml:space="preserve">SV0241</t>
  </si>
  <si>
    <t xml:space="preserve">SV0242</t>
  </si>
  <si>
    <t xml:space="preserve">SV0243</t>
  </si>
  <si>
    <t xml:space="preserve">SV0244</t>
  </si>
  <si>
    <t xml:space="preserve">SV0245</t>
  </si>
  <si>
    <t xml:space="preserve">SV0246</t>
  </si>
  <si>
    <t xml:space="preserve">SV0247</t>
  </si>
  <si>
    <t xml:space="preserve">SV0248</t>
  </si>
  <si>
    <t xml:space="preserve">SV0249</t>
  </si>
  <si>
    <t xml:space="preserve">SV0250</t>
  </si>
  <si>
    <t xml:space="preserve">SV0251</t>
  </si>
  <si>
    <t xml:space="preserve">SV0252</t>
  </si>
  <si>
    <t xml:space="preserve">SV0253</t>
  </si>
  <si>
    <t xml:space="preserve">SV0254</t>
  </si>
  <si>
    <t xml:space="preserve">SV0255</t>
  </si>
  <si>
    <t xml:space="preserve">SV0256</t>
  </si>
  <si>
    <t xml:space="preserve">SV0257</t>
  </si>
  <si>
    <t xml:space="preserve">SV0258</t>
  </si>
  <si>
    <t xml:space="preserve">SV0259</t>
  </si>
  <si>
    <t xml:space="preserve">SV0260</t>
  </si>
  <si>
    <t xml:space="preserve">SV0261</t>
  </si>
  <si>
    <t xml:space="preserve">SV0262</t>
  </si>
  <si>
    <t xml:space="preserve">SV0263</t>
  </si>
  <si>
    <t xml:space="preserve">SV0264</t>
  </si>
  <si>
    <t xml:space="preserve">SV0265</t>
  </si>
  <si>
    <t xml:space="preserve">SV0266</t>
  </si>
  <si>
    <t xml:space="preserve">SV0267</t>
  </si>
  <si>
    <t xml:space="preserve">SV0268</t>
  </si>
  <si>
    <t xml:space="preserve">SV0269</t>
  </si>
  <si>
    <t xml:space="preserve">SV0270</t>
  </si>
  <si>
    <t xml:space="preserve">SV0271</t>
  </si>
  <si>
    <t xml:space="preserve">SV0272</t>
  </si>
  <si>
    <t xml:space="preserve">SV0273</t>
  </si>
  <si>
    <t xml:space="preserve">SV0274</t>
  </si>
  <si>
    <t xml:space="preserve">SV0275</t>
  </si>
  <si>
    <t xml:space="preserve">SV0276</t>
  </si>
  <si>
    <t xml:space="preserve">SV0277</t>
  </si>
  <si>
    <t xml:space="preserve">SV0278</t>
  </si>
  <si>
    <t xml:space="preserve">SV0279</t>
  </si>
  <si>
    <t xml:space="preserve">SV0280</t>
  </si>
  <si>
    <t xml:space="preserve">SV0281</t>
  </si>
  <si>
    <t xml:space="preserve">🤝  CHANNEL PARTNER PERFORMANCE DASHBOARD  |  Auto-ranked  |  FY 2024-25</t>
  </si>
  <si>
    <t xml:space="preserve">SUMIFS/COUNTIFS Live Calculations  |  Revenue, Conversions, Partner Tier</t>
  </si>
  <si>
    <t xml:space="preserve">Partner Name</t>
  </si>
  <si>
    <t xml:space="preserve">Leads Generated</t>
  </si>
  <si>
    <t xml:space="preserve">Avg Deal (₹)</t>
  </si>
  <si>
    <t xml:space="preserve">Tier</t>
  </si>
  <si>
    <t xml:space="preserve">📅  FOLLOW-UP AUTOMATION  |  368 Active Leads  |  Auto-prioritized by Urgency</t>
  </si>
  <si>
    <t xml:space="preserve">Red = Overdue  |  Orange = Critical Overdue  |  Yellow = Due Today  |  Green = Upcoming</t>
  </si>
  <si>
    <t xml:space="preserve">Current Status</t>
  </si>
  <si>
    <t xml:space="preserve">Days Overdue</t>
  </si>
  <si>
    <t xml:space="preserve">Priority Action</t>
  </si>
  <si>
    <t xml:space="preserve">🔍  KEY BUSINESS INSIGHTS — GODREJ PROPERTIES CRM  |  FY 2024-25</t>
  </si>
  <si>
    <t xml:space="preserve">Data-driven findings from 500 leads · 85 bookings · ₹122.66 Cr revenue</t>
  </si>
  <si>
    <t xml:space="preserve">🔴  CRITICAL PROBLEMS — Immediate Action Required</t>
  </si>
  <si>
    <t xml:space="preserve">#</t>
  </si>
  <si>
    <t xml:space="preserve">Insight</t>
  </si>
  <si>
    <t xml:space="preserve">Metric</t>
  </si>
  <si>
    <t xml:space="preserve">Current</t>
  </si>
  <si>
    <t xml:space="preserve">Target</t>
  </si>
  <si>
    <t xml:space="preserve">Gap</t>
  </si>
  <si>
    <t xml:space="preserve">Impact</t>
  </si>
  <si>
    <t xml:space="preserve">Action</t>
  </si>
  <si>
    <t xml:space="preserve">Active leads overdue</t>
  </si>
  <si>
    <t xml:space="preserve">128 leads</t>
  </si>
  <si>
    <t xml:space="preserve">0 leads</t>
  </si>
  <si>
    <t xml:space="preserve">₹18.4 Cr at risk</t>
  </si>
  <si>
    <t xml:space="preserve">Call all today</t>
  </si>
  <si>
    <t xml:space="preserve">Oct'24 Revenue Collapse</t>
  </si>
  <si>
    <t xml:space="preserve">MoM revenue drop</t>
  </si>
  <si>
    <t xml:space="preserve">₹3.38 Cr</t>
  </si>
  <si>
    <t xml:space="preserve">₹10 Cr</t>
  </si>
  <si>
    <t xml:space="preserve">-₹6.62 Cr</t>
  </si>
  <si>
    <t xml:space="preserve">Pipeline failure</t>
  </si>
  <si>
    <t xml:space="preserve">Review Sep pipeline</t>
  </si>
  <si>
    <t xml:space="preserve">47 Lost Leads Unanalysed</t>
  </si>
  <si>
    <t xml:space="preserve">Loss reason tracking</t>
  </si>
  <si>
    <t xml:space="preserve">0% tracked</t>
  </si>
  <si>
    <t xml:space="preserve">100%</t>
  </si>
  <si>
    <t xml:space="preserve">47 leads</t>
  </si>
  <si>
    <t xml:space="preserve">Repeat mistakes</t>
  </si>
  <si>
    <t xml:space="preserve">Add loss reason column</t>
  </si>
  <si>
    <t xml:space="preserve">Mar'25 Lead Generation Drop</t>
  </si>
  <si>
    <t xml:space="preserve">Monthly leads</t>
  </si>
  <si>
    <t xml:space="preserve">12 leads</t>
  </si>
  <si>
    <t xml:space="preserve">40+ leads</t>
  </si>
  <si>
    <t xml:space="preserve">-28 leads</t>
  </si>
  <si>
    <t xml:space="preserve">Apr-May revenue at risk</t>
  </si>
  <si>
    <t xml:space="preserve">Restart campaigns now</t>
  </si>
  <si>
    <t xml:space="preserve">₹48.88 Cr Outstanding</t>
  </si>
  <si>
    <t xml:space="preserve">Collection rate</t>
  </si>
  <si>
    <t xml:space="preserve">60.2%</t>
  </si>
  <si>
    <t xml:space="preserve">85%+</t>
  </si>
  <si>
    <t xml:space="preserve">₹48.88 Cr</t>
  </si>
  <si>
    <t xml:space="preserve">Cash flow risk</t>
  </si>
  <si>
    <t xml:space="preserve">Call 7 overdue accounts</t>
  </si>
  <si>
    <t xml:space="preserve">🟡  SERIOUS GAPS — Fix This Month</t>
  </si>
  <si>
    <t xml:space="preserve">Facebook ROI is poorest</t>
  </si>
  <si>
    <t xml:space="preserve">Conv% vs Google Ads</t>
  </si>
  <si>
    <t xml:space="preserve">12.7%</t>
  </si>
  <si>
    <t xml:space="preserve">20%+</t>
  </si>
  <si>
    <t xml:space="preserve">7.3% gap</t>
  </si>
  <si>
    <t xml:space="preserve">Budget waste</t>
  </si>
  <si>
    <t xml:space="preserve">Shift budget to Google Ads</t>
  </si>
  <si>
    <t xml:space="preserve">Walk-in leads underperform</t>
  </si>
  <si>
    <t xml:space="preserve">Conv% vs avg</t>
  </si>
  <si>
    <t xml:space="preserve">12.6%</t>
  </si>
  <si>
    <t xml:space="preserve">17%+</t>
  </si>
  <si>
    <t xml:space="preserve">4.4% gap</t>
  </si>
  <si>
    <t xml:space="preserve">Missed easy sales</t>
  </si>
  <si>
    <t xml:space="preserve">Fix front desk process</t>
  </si>
  <si>
    <t xml:space="preserve">Sunita Verma underperforming</t>
  </si>
  <si>
    <t xml:space="preserve">Conversion rate</t>
  </si>
  <si>
    <t xml:space="preserve">9.3%</t>
  </si>
  <si>
    <t xml:space="preserve">7.7% gap</t>
  </si>
  <si>
    <t xml:space="preserve">₹8+ Cr lost</t>
  </si>
  <si>
    <t xml:space="preserve">Coaching &amp; review</t>
  </si>
  <si>
    <t xml:space="preserve">Rahul Nair below average</t>
  </si>
  <si>
    <t xml:space="preserve">11.5%</t>
  </si>
  <si>
    <t xml:space="preserve">5.5% gap</t>
  </si>
  <si>
    <t xml:space="preserve">₹5+ Cr lost</t>
  </si>
  <si>
    <t xml:space="preserve">Script training</t>
  </si>
  <si>
    <t xml:space="preserve">Hyderabad worst city</t>
  </si>
  <si>
    <t xml:space="preserve">8.6%</t>
  </si>
  <si>
    <t xml:space="preserve">8.4% gap</t>
  </si>
  <si>
    <t xml:space="preserve">Market issue?</t>
  </si>
  <si>
    <t xml:space="preserve">Review project positioning</t>
  </si>
  <si>
    <t xml:space="preserve">🟢  WHAT IS WORKING — Scale These Up</t>
  </si>
  <si>
    <t xml:space="preserve">Benchmark</t>
  </si>
  <si>
    <t xml:space="preserve">Advantage</t>
  </si>
  <si>
    <t xml:space="preserve">Revenue Impact</t>
  </si>
  <si>
    <t xml:space="preserve">Pune = highest conversion city</t>
  </si>
  <si>
    <t xml:space="preserve">Conv rate</t>
  </si>
  <si>
    <t xml:space="preserve">33.3%</t>
  </si>
  <si>
    <t xml:space="preserve">17% avg</t>
  </si>
  <si>
    <t xml:space="preserve">+16.3%</t>
  </si>
  <si>
    <t xml:space="preserve">₹27.29 Cr</t>
  </si>
  <si>
    <t xml:space="preserve">More inventory + marketing</t>
  </si>
  <si>
    <t xml:space="preserve">Google Ads best ROI source</t>
  </si>
  <si>
    <t xml:space="preserve">23.7%</t>
  </si>
  <si>
    <t xml:space="preserve">+6.7%</t>
  </si>
  <si>
    <t xml:space="preserve">₹23.97 Cr</t>
  </si>
  <si>
    <t xml:space="preserve">Double the budget</t>
  </si>
  <si>
    <t xml:space="preserve">Divya Reddy = blueprint exec</t>
  </si>
  <si>
    <t xml:space="preserve">28.6%</t>
  </si>
  <si>
    <t xml:space="preserve">+11.6%</t>
  </si>
  <si>
    <t xml:space="preserve">₹17.91 Cr</t>
  </si>
  <si>
    <t xml:space="preserve">Use her as trainer</t>
  </si>
  <si>
    <t xml:space="preserve">Apex Realty = best partner</t>
  </si>
  <si>
    <t xml:space="preserve">66.7%</t>
  </si>
  <si>
    <t xml:space="preserve">22% avg</t>
  </si>
  <si>
    <t xml:space="preserve">+44.7%</t>
  </si>
  <si>
    <t xml:space="preserve">₹2.33 Cr</t>
  </si>
  <si>
    <t xml:space="preserve">Give more leads</t>
  </si>
  <si>
    <t xml:space="preserve">3BHK = volume king</t>
  </si>
  <si>
    <t xml:space="preserve">23 bk</t>
  </si>
  <si>
    <t xml:space="preserve">14 avg</t>
  </si>
  <si>
    <t xml:space="preserve">+9 bk</t>
  </si>
  <si>
    <t xml:space="preserve">₹26.93 Cr</t>
  </si>
  <si>
    <t xml:space="preserve">Prioritise 3BHK inventory</t>
  </si>
  <si>
    <t xml:space="preserve">Penthouse = revenue king</t>
  </si>
  <si>
    <t xml:space="preserve">Rev per bk</t>
  </si>
  <si>
    <t xml:space="preserve">₹292L</t>
  </si>
  <si>
    <t xml:space="preserve">₹144L avg</t>
  </si>
  <si>
    <t xml:space="preserve">+₹148L/bk</t>
  </si>
  <si>
    <t xml:space="preserve">₹37.94 Cr</t>
  </si>
  <si>
    <t xml:space="preserve">Assign top execs only</t>
  </si>
  <si>
    <t xml:space="preserve">Referral top 3 source</t>
  </si>
  <si>
    <t xml:space="preserve">19.5%</t>
  </si>
  <si>
    <t xml:space="preserve">+2.5%</t>
  </si>
  <si>
    <t xml:space="preserve">₹22.39 Cr</t>
  </si>
  <si>
    <t xml:space="preserve">Build referral program</t>
  </si>
  <si>
    <t xml:space="preserve">⏰  LEAD AGING ANALYSIS  |  How Long Have Active Leads Been Waiting?</t>
  </si>
  <si>
    <t xml:space="preserve">Active pipeline only (Booked &amp; Lost excluded)  |  Older = Higher Risk of Losing</t>
  </si>
  <si>
    <t xml:space="preserve">Fresh (0-7 days)</t>
  </si>
  <si>
    <t xml:space="preserve">New (8-15 days)</t>
  </si>
  <si>
    <t xml:space="preserve">Growing (16-30 days)</t>
  </si>
  <si>
    <t xml:space="preserve">At Risk (31-60 days)</t>
  </si>
  <si>
    <t xml:space="preserve">Critical (60+ days)</t>
  </si>
  <si>
    <t xml:space="preserve">0% of pipeline</t>
  </si>
  <si>
    <t xml:space="preserve">100% of pipeline</t>
  </si>
  <si>
    <t xml:space="preserve">Age (Days)</t>
  </si>
  <si>
    <t xml:space="preserve">Band</t>
  </si>
  <si>
    <t xml:space="preserve">Priority</t>
  </si>
  <si>
    <t xml:space="preserve">Critical</t>
  </si>
  <si>
    <t xml:space="preserve">🔴 URGENT</t>
  </si>
  <si>
    <t xml:space="preserve">🎯  EXECUTIVE TARGET vs ACHIEVEMENT TRACKER  |  FY 2024-25</t>
  </si>
  <si>
    <t xml:space="preserve">Revenue Targets vs Actual · Booking Targets vs Actual · Performance Rating</t>
  </si>
  <si>
    <t xml:space="preserve">SECTION A: MONTHLY REVENUE TARGET vs ACTUAL</t>
  </si>
  <si>
    <t xml:space="preserve">Target (₹)</t>
  </si>
  <si>
    <t xml:space="preserve">Actual (₹)</t>
  </si>
  <si>
    <t xml:space="preserve">Variance (₹)</t>
  </si>
  <si>
    <t xml:space="preserve">Achievement %</t>
  </si>
  <si>
    <t xml:space="preserve">MoM Change</t>
  </si>
  <si>
    <t xml:space="preserve">Recommendation</t>
  </si>
  <si>
    <t xml:space="preserve">Apr'24</t>
  </si>
  <si>
    <t xml:space="preserve">❌ Missed</t>
  </si>
  <si>
    <t xml:space="preserve">Review pipeline</t>
  </si>
  <si>
    <t xml:space="preserve">May'24</t>
  </si>
  <si>
    <t xml:space="preserve">⚠️ Near</t>
  </si>
  <si>
    <t xml:space="preserve">Push harder</t>
  </si>
  <si>
    <t xml:space="preserve">Jun'24</t>
  </si>
  <si>
    <t xml:space="preserve">✅ Hit</t>
  </si>
  <si>
    <t xml:space="preserve">Scale up</t>
  </si>
  <si>
    <t xml:space="preserve">Jul'24</t>
  </si>
  <si>
    <t xml:space="preserve">Aug'24</t>
  </si>
  <si>
    <t xml:space="preserve">Sep'24</t>
  </si>
  <si>
    <t xml:space="preserve">Oct'24</t>
  </si>
  <si>
    <t xml:space="preserve">Nov'24</t>
  </si>
  <si>
    <t xml:space="preserve">Dec'24</t>
  </si>
  <si>
    <t xml:space="preserve">Jan'25</t>
  </si>
  <si>
    <t xml:space="preserve">Feb'25</t>
  </si>
  <si>
    <t xml:space="preserve">Mar'25</t>
  </si>
  <si>
    <t xml:space="preserve">FULL YEAR TOTAL</t>
  </si>
  <si>
    <t xml:space="preserve">SECTION B: EXECUTIVE TARGET vs ACHIEVEMENT</t>
  </si>
  <si>
    <t xml:space="preserve">Revenue Target</t>
  </si>
  <si>
    <t xml:space="preserve">Revenue Actual</t>
  </si>
  <si>
    <t xml:space="preserve">Gap (₹)</t>
  </si>
  <si>
    <t xml:space="preserve">Score</t>
  </si>
  <si>
    <t xml:space="preserve">⭐ Star</t>
  </si>
  <si>
    <t xml:space="preserve">✅ Good</t>
  </si>
  <si>
    <t xml:space="preserve">⚠️ Average</t>
  </si>
  <si>
    <t xml:space="preserve">❌ Below</t>
  </si>
  <si>
    <t xml:space="preserve">📡  LEAD SOURCE ROI ANALYSIS  |  Where to Invest Your Marketing Budget</t>
  </si>
  <si>
    <t xml:space="preserve">Conversion Rate · Revenue per Lead · Cost Efficiency · Strategic Recommendation</t>
  </si>
  <si>
    <t xml:space="preserve">Source</t>
  </si>
  <si>
    <t xml:space="preserve">Conv %</t>
  </si>
  <si>
    <t xml:space="preserve">Rev per Lead (₹)</t>
  </si>
  <si>
    <t xml:space="preserve">ROI Score</t>
  </si>
  <si>
    <t xml:space="preserve">🚀 Scale Up</t>
  </si>
  <si>
    <t xml:space="preserve">✅ Maintain</t>
  </si>
  <si>
    <t xml:space="preserve">⚙️ Optimise</t>
  </si>
  <si>
    <t xml:space="preserve">💡 KEY INSIGHT: Google Ads converts 23.7% vs Facebook 12.7% — shift budget from Facebook to Google Ads → projected +40 bookings → +₹5.8 Cr additional revenue</t>
  </si>
  <si>
    <t xml:space="preserve">📈  REVENUE FORECAST  |  Next 6 Months  |  Based on Pipeline Analysis</t>
  </si>
  <si>
    <t xml:space="preserve">Conservative · Base · Optimistic scenarios based on current pipeline &amp; conversion rates</t>
  </si>
  <si>
    <t xml:space="preserve">Active Leads</t>
  </si>
  <si>
    <t xml:space="preserve">Expected SV</t>
  </si>
  <si>
    <t xml:space="preserve">Conservative (₹)</t>
  </si>
  <si>
    <t xml:space="preserve">Base Case (₹)</t>
  </si>
  <si>
    <t xml:space="preserve">Optimistic (₹)</t>
  </si>
  <si>
    <t xml:space="preserve">Key Assumption</t>
  </si>
  <si>
    <t xml:space="preserve">Apr'25</t>
  </si>
  <si>
    <t xml:space="preserve">28 overdue leads converting</t>
  </si>
  <si>
    <t xml:space="preserve">May'25</t>
  </si>
  <si>
    <t xml:space="preserve">New lead gen ramp-up</t>
  </si>
  <si>
    <t xml:space="preserve">Jun'25</t>
  </si>
  <si>
    <t xml:space="preserve">Q1 FY26 campaign launch</t>
  </si>
  <si>
    <t xml:space="preserve">Jul'25</t>
  </si>
  <si>
    <t xml:space="preserve">Channel partner expansion</t>
  </si>
  <si>
    <t xml:space="preserve">Aug'25</t>
  </si>
  <si>
    <t xml:space="preserve">Peak booking season</t>
  </si>
  <si>
    <t xml:space="preserve">Sep'25</t>
  </si>
  <si>
    <t xml:space="preserve">Year-end push</t>
  </si>
  <si>
    <t xml:space="preserve">6-MONTH TOTAL</t>
  </si>
  <si>
    <t xml:space="preserve">SCENARIO ANALYSIS — What Would Drive Each Outcome</t>
  </si>
  <si>
    <t xml:space="preserve">🔴 Conservative</t>
  </si>
  <si>
    <t xml:space="preserve">₹61 Cr</t>
  </si>
  <si>
    <t xml:space="preserve">Current conversion rate maintained, no improvement in follow-ups or lead gen</t>
  </si>
  <si>
    <t xml:space="preserve">🔵 Base Case</t>
  </si>
  <si>
    <t xml:space="preserve">₹80 Cr</t>
  </si>
  <si>
    <t xml:space="preserve">Fix overdue follow-ups, maintain Google Ads budget, coach 2 underperforming execs</t>
  </si>
  <si>
    <t xml:space="preserve">🟢 Optimistic</t>
  </si>
  <si>
    <t xml:space="preserve">₹108 Cr</t>
  </si>
  <si>
    <t xml:space="preserve">Scale Google Ads, expand Pune market, activate Apex Realty, Divya trains team</t>
  </si>
  <si>
    <t xml:space="preserve">📊  PIVOT &amp; SUMMARY DATA — Dashboard Source Tables</t>
  </si>
  <si>
    <t xml:space="preserve">MONTHLY PERFORMANCE</t>
  </si>
  <si>
    <t xml:space="preserve">LEAD SOURCE ANALYSIS</t>
  </si>
  <si>
    <t xml:space="preserve">PROJECT REVENUE</t>
  </si>
  <si>
    <t xml:space="preserve">13.6%</t>
  </si>
  <si>
    <t xml:space="preserve">22.7%</t>
  </si>
  <si>
    <t xml:space="preserve">15.6%</t>
  </si>
  <si>
    <t xml:space="preserve">SALES FUNNEL</t>
  </si>
  <si>
    <t xml:space="preserve">EXECUTIVE SUMMARY</t>
  </si>
  <si>
    <t xml:space="preserve">Stage</t>
  </si>
  <si>
    <t xml:space="preserve">Count</t>
  </si>
  <si>
    <t xml:space="preserve">% of Total</t>
  </si>
  <si>
    <t xml:space="preserve">14.8%</t>
  </si>
  <si>
    <t xml:space="preserve">19.6%</t>
  </si>
  <si>
    <t xml:space="preserve">12.2%</t>
  </si>
  <si>
    <t xml:space="preserve">14.0%</t>
  </si>
  <si>
    <t xml:space="preserve">13.0%</t>
  </si>
  <si>
    <t xml:space="preserve">9.4%</t>
  </si>
  <si>
    <t xml:space="preserve">⚠ Dashboard KPI tiles show values at generation date. Refresh from Pivot Data for live updates.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</si>
</sst>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%"/>
    <numFmt numFmtId="167" formatCode="0.0"/>
    <numFmt numFmtId="168" formatCode="\₹#,##0"/>
    <numFmt numFmtId="169" formatCode="dd\-mmm\-yy"/>
    <numFmt numFmtId="170" formatCode="[&gt;=10000000]\₹##\.0&quot;Cr&quot;;[&gt;=100000]\₹##\.0\L;\₹#,##0"/>
    <numFmt numFmtId="171" formatCode="General"/>
    <numFmt numFmtId="172" formatCode="\₹#,##0"/>
  </numFmts>
  <fonts count="6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C9A84C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i val="true"/>
      <sz val="9"/>
      <color rgb="FFF0D898"/>
      <name val="Calibri"/>
      <family val="0"/>
      <charset val="1"/>
    </font>
    <font>
      <b val="true"/>
      <sz val="6"/>
      <color rgb="FFC9A84C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6"/>
      <color rgb="FFFFFFFF"/>
      <name val="Calibri"/>
      <family val="0"/>
      <charset val="1"/>
    </font>
    <font>
      <b val="true"/>
      <sz val="22"/>
      <color rgb="FFF0D898"/>
      <name val="Calibri"/>
      <family val="0"/>
      <charset val="1"/>
    </font>
    <font>
      <i val="true"/>
      <sz val="8"/>
      <color rgb="FFFFFFFF"/>
      <name val="Calibri"/>
      <family val="0"/>
      <charset val="1"/>
    </font>
    <font>
      <b val="true"/>
      <sz val="4"/>
      <color rgb="FFC9A84C"/>
      <name val="Calibri"/>
      <family val="0"/>
      <charset val="1"/>
    </font>
    <font>
      <i val="true"/>
      <sz val="8"/>
      <color rgb="FFF0D898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6"/>
      <color rgb="FFF0D898"/>
      <name val="Calibri"/>
      <family val="0"/>
      <charset val="1"/>
    </font>
    <font>
      <b val="true"/>
      <sz val="3"/>
      <color rgb="FFC9A84C"/>
      <name val="Calibri"/>
      <family val="0"/>
      <charset val="1"/>
    </font>
    <font>
      <b val="true"/>
      <sz val="4"/>
      <color rgb="FFEDF2F7"/>
      <name val="Calibri"/>
      <family val="0"/>
      <charset val="1"/>
    </font>
    <font>
      <sz val="9"/>
      <color rgb="FFF0D89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9"/>
      <name val="Calibri"/>
      <family val="0"/>
      <charset val="1"/>
    </font>
    <font>
      <sz val="10"/>
      <color rgb="FF000000"/>
      <name val="Calibri"/>
      <family val="2"/>
    </font>
    <font>
      <b val="true"/>
      <sz val="14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i val="true"/>
      <sz val="8"/>
      <color rgb="FF666666"/>
      <name val="Calibri"/>
      <family val="0"/>
      <charset val="1"/>
    </font>
    <font>
      <sz val="11"/>
      <color rgb="FF1A365D"/>
      <name val="Calibri"/>
      <family val="0"/>
      <charset val="1"/>
    </font>
    <font>
      <i val="true"/>
      <sz val="8"/>
      <color rgb="FF27622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1"/>
      <color rgb="FF9C5700"/>
      <name val="Calibri"/>
      <family val="0"/>
      <charset val="1"/>
    </font>
    <font>
      <b val="true"/>
      <sz val="14"/>
      <color rgb="FFC9A84C"/>
      <name val="Calibri"/>
      <family val="0"/>
      <charset val="1"/>
    </font>
    <font>
      <b val="true"/>
      <sz val="12"/>
      <color rgb="FF9C0006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8B0000"/>
      <name val="Calibri"/>
      <family val="0"/>
      <charset val="1"/>
    </font>
    <font>
      <b val="true"/>
      <sz val="12"/>
      <color rgb="FF9C5700"/>
      <name val="Calibri"/>
      <family val="0"/>
      <charset val="1"/>
    </font>
    <font>
      <b val="true"/>
      <sz val="11"/>
      <color rgb="FF7A5000"/>
      <name val="Calibri"/>
      <family val="0"/>
      <charset val="1"/>
    </font>
    <font>
      <b val="true"/>
      <sz val="12"/>
      <color rgb="FF1A5C38"/>
      <name val="Calibri"/>
      <family val="0"/>
      <charset val="1"/>
    </font>
    <font>
      <b val="true"/>
      <sz val="11"/>
      <color rgb="FF1A5C38"/>
      <name val="Calibri"/>
      <family val="0"/>
      <charset val="1"/>
    </font>
    <font>
      <b val="true"/>
      <sz val="9"/>
      <color rgb="FF276221"/>
      <name val="Calibri"/>
      <family val="0"/>
      <charset val="1"/>
    </font>
    <font>
      <b val="true"/>
      <sz val="9"/>
      <color rgb="FF1F497D"/>
      <name val="Calibri"/>
      <family val="0"/>
      <charset val="1"/>
    </font>
    <font>
      <b val="true"/>
      <sz val="9"/>
      <color rgb="FF9C5700"/>
      <name val="Calibri"/>
      <family val="0"/>
      <charset val="1"/>
    </font>
    <font>
      <b val="true"/>
      <sz val="9"/>
      <color rgb="FF7A2E00"/>
      <name val="Calibri"/>
      <family val="0"/>
      <charset val="1"/>
    </font>
    <font>
      <b val="true"/>
      <sz val="9"/>
      <color rgb="FF9C0006"/>
      <name val="Calibri"/>
      <family val="0"/>
      <charset val="1"/>
    </font>
    <font>
      <b val="true"/>
      <sz val="24"/>
      <color rgb="FF276221"/>
      <name val="Calibri"/>
      <family val="0"/>
      <charset val="1"/>
    </font>
    <font>
      <b val="true"/>
      <sz val="24"/>
      <color rgb="FF1F497D"/>
      <name val="Calibri"/>
      <family val="0"/>
      <charset val="1"/>
    </font>
    <font>
      <b val="true"/>
      <sz val="24"/>
      <color rgb="FF9C5700"/>
      <name val="Calibri"/>
      <family val="0"/>
      <charset val="1"/>
    </font>
    <font>
      <b val="true"/>
      <sz val="24"/>
      <color rgb="FF7A2E00"/>
      <name val="Calibri"/>
      <family val="0"/>
      <charset val="1"/>
    </font>
    <font>
      <b val="true"/>
      <sz val="24"/>
      <color rgb="FF9C0006"/>
      <name val="Calibri"/>
      <family val="0"/>
      <charset val="1"/>
    </font>
    <font>
      <i val="true"/>
      <sz val="9"/>
      <color rgb="FF276221"/>
      <name val="Calibri"/>
      <family val="0"/>
      <charset val="1"/>
    </font>
    <font>
      <i val="true"/>
      <sz val="9"/>
      <color rgb="FF1F497D"/>
      <name val="Calibri"/>
      <family val="0"/>
      <charset val="1"/>
    </font>
    <font>
      <i val="true"/>
      <sz val="9"/>
      <color rgb="FF9C5700"/>
      <name val="Calibri"/>
      <family val="0"/>
      <charset val="1"/>
    </font>
    <font>
      <i val="true"/>
      <sz val="9"/>
      <color rgb="FF7A2E00"/>
      <name val="Calibri"/>
      <family val="0"/>
      <charset val="1"/>
    </font>
    <font>
      <i val="true"/>
      <sz val="9"/>
      <color rgb="FF9C0006"/>
      <name val="Calibri"/>
      <family val="0"/>
      <charset val="1"/>
    </font>
    <font>
      <b val="true"/>
      <sz val="11"/>
      <color rgb="FF9C0006"/>
      <name val="Calibri"/>
      <family val="0"/>
      <charset val="1"/>
    </font>
    <font>
      <sz val="11"/>
      <color rgb="FF9C0006"/>
      <name val="Calibri"/>
      <family val="0"/>
      <charset val="1"/>
    </font>
    <font>
      <sz val="11"/>
      <color rgb="FF276221"/>
      <name val="Calibri"/>
      <family val="0"/>
      <charset val="1"/>
    </font>
    <font>
      <b val="true"/>
      <sz val="11"/>
      <color rgb="FF276221"/>
      <name val="Calibri"/>
      <family val="0"/>
      <charset val="1"/>
    </font>
    <font>
      <b val="true"/>
      <sz val="11"/>
      <color rgb="FF1F497D"/>
      <name val="Calibri"/>
      <family val="0"/>
      <charset val="1"/>
    </font>
    <font>
      <b val="true"/>
      <sz val="10"/>
      <color rgb="FF1A5C38"/>
      <name val="Calibri"/>
      <family val="0"/>
      <charset val="1"/>
    </font>
    <font>
      <b val="true"/>
      <sz val="14"/>
      <name val="Calibri"/>
      <family val="0"/>
      <charset val="1"/>
    </font>
    <font>
      <i val="true"/>
      <sz val="9"/>
      <color rgb="FF742A2A"/>
      <name val="Calibri"/>
      <family val="0"/>
      <charset val="1"/>
    </font>
  </fonts>
  <fills count="35">
    <fill>
      <patternFill patternType="none"/>
    </fill>
    <fill>
      <patternFill patternType="gray125"/>
    </fill>
    <fill>
      <patternFill patternType="solid">
        <fgColor rgb="FF1B2A4A"/>
        <bgColor rgb="FF1A365D"/>
      </patternFill>
    </fill>
    <fill>
      <patternFill patternType="solid">
        <fgColor rgb="FF2D3748"/>
        <bgColor rgb="FF2C3E50"/>
      </patternFill>
    </fill>
    <fill>
      <patternFill patternType="solid">
        <fgColor rgb="FFC9A84C"/>
        <bgColor rgb="FFDC853E"/>
      </patternFill>
    </fill>
    <fill>
      <patternFill patternType="solid">
        <fgColor rgb="FF2C7A7B"/>
        <bgColor rgb="FF2D6A4F"/>
      </patternFill>
    </fill>
    <fill>
      <patternFill patternType="solid">
        <fgColor rgb="FF2D6A4F"/>
        <bgColor rgb="FF276221"/>
      </patternFill>
    </fill>
    <fill>
      <patternFill patternType="solid">
        <fgColor rgb="FF7B341E"/>
        <bgColor rgb="FF742A2A"/>
      </patternFill>
    </fill>
    <fill>
      <patternFill patternType="solid">
        <fgColor rgb="FF44337A"/>
        <bgColor rgb="FF2C3E50"/>
      </patternFill>
    </fill>
    <fill>
      <patternFill patternType="solid">
        <fgColor rgb="FF822727"/>
        <bgColor rgb="FF742A2A"/>
      </patternFill>
    </fill>
    <fill>
      <patternFill patternType="solid">
        <fgColor rgb="FF2C3E50"/>
        <bgColor rgb="FF2D3748"/>
      </patternFill>
    </fill>
    <fill>
      <patternFill patternType="solid">
        <fgColor rgb="FF1A365D"/>
        <bgColor rgb="FF1B2A4A"/>
      </patternFill>
    </fill>
    <fill>
      <patternFill patternType="solid">
        <fgColor rgb="FF742A2A"/>
        <bgColor rgb="FF822727"/>
      </patternFill>
    </fill>
    <fill>
      <patternFill patternType="solid">
        <fgColor rgb="FF276221"/>
        <bgColor rgb="FF1A5C38"/>
      </patternFill>
    </fill>
    <fill>
      <patternFill patternType="solid">
        <fgColor rgb="FFEDF2F7"/>
        <bgColor rgb="FFF0F4FF"/>
      </patternFill>
    </fill>
    <fill>
      <patternFill patternType="solid">
        <fgColor rgb="FFFFFFFF"/>
        <bgColor rgb="FFFFFFF0"/>
      </patternFill>
    </fill>
    <fill>
      <patternFill patternType="solid">
        <fgColor rgb="FFF0D898"/>
        <bgColor rgb="FFFFD0B0"/>
      </patternFill>
    </fill>
    <fill>
      <patternFill patternType="solid">
        <fgColor rgb="FFFFFFF0"/>
        <bgColor rgb="FFFFFBF0"/>
      </patternFill>
    </fill>
    <fill>
      <patternFill patternType="solid">
        <fgColor rgb="FFEBF8FF"/>
        <bgColor rgb="FFF0F4FF"/>
      </patternFill>
    </fill>
    <fill>
      <patternFill patternType="solid">
        <fgColor rgb="FFF0FFF4"/>
        <bgColor rgb="FFF8F9FA"/>
      </patternFill>
    </fill>
    <fill>
      <patternFill patternType="solid">
        <fgColor rgb="FFFFEB9C"/>
        <bgColor rgb="FFF0D898"/>
      </patternFill>
    </fill>
    <fill>
      <patternFill patternType="solid">
        <fgColor rgb="FF8B0000"/>
        <bgColor rgb="FF9C0006"/>
      </patternFill>
    </fill>
    <fill>
      <patternFill patternType="solid">
        <fgColor rgb="FFFFF0F0"/>
        <bgColor rgb="FFFFF9E4"/>
      </patternFill>
    </fill>
    <fill>
      <patternFill patternType="solid">
        <fgColor rgb="FFFFE4E4"/>
        <bgColor rgb="FFFFF0F0"/>
      </patternFill>
    </fill>
    <fill>
      <patternFill patternType="solid">
        <fgColor rgb="FF9C5700"/>
        <bgColor rgb="FF7A5000"/>
      </patternFill>
    </fill>
    <fill>
      <patternFill patternType="solid">
        <fgColor rgb="FFFFFBF0"/>
        <bgColor rgb="FFFFFFF0"/>
      </patternFill>
    </fill>
    <fill>
      <patternFill patternType="solid">
        <fgColor rgb="FFFFF9E4"/>
        <bgColor rgb="FFFFFBF0"/>
      </patternFill>
    </fill>
    <fill>
      <patternFill patternType="solid">
        <fgColor rgb="FF1A5C38"/>
        <bgColor rgb="FF276221"/>
      </patternFill>
    </fill>
    <fill>
      <patternFill patternType="solid">
        <fgColor rgb="FFE4FFE4"/>
        <bgColor rgb="FFF0FFF4"/>
      </patternFill>
    </fill>
    <fill>
      <patternFill patternType="solid">
        <fgColor rgb="FFC6EFCE"/>
        <bgColor rgb="FFBEE3F8"/>
      </patternFill>
    </fill>
    <fill>
      <patternFill patternType="solid">
        <fgColor rgb="FFBDD7EE"/>
        <bgColor rgb="FFBEE3F8"/>
      </patternFill>
    </fill>
    <fill>
      <patternFill patternType="solid">
        <fgColor rgb="FFFFD0B0"/>
        <bgColor rgb="FFFFCBA4"/>
      </patternFill>
    </fill>
    <fill>
      <patternFill patternType="solid">
        <fgColor rgb="FFFFC7CE"/>
        <bgColor rgb="FFFFD0B0"/>
      </patternFill>
    </fill>
    <fill>
      <patternFill patternType="solid">
        <fgColor rgb="FFF8F9FA"/>
        <bgColor rgb="FFFFFBF0"/>
      </patternFill>
    </fill>
    <fill>
      <patternFill patternType="solid">
        <fgColor rgb="FFF0F4FF"/>
        <bgColor rgb="FFEDF2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6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1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2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2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5" fillId="3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3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3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3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3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1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8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7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1" fillId="2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8" fillId="2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2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2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2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1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9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0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2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3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0" fillId="3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1" fillId="3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3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2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0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1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1" fillId="3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3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1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3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2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3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1" fillId="3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0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1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Calibri"/>
        <charset val="1"/>
        <family val="0"/>
        <b val="1"/>
        <color rgb="FF276221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1F497D"/>
      </font>
      <fill>
        <patternFill>
          <bgColor rgb="FFBDD7EE"/>
        </patternFill>
      </fill>
    </dxf>
    <dxf>
      <font>
        <name val="Calibri"/>
        <charset val="1"/>
        <family val="0"/>
        <b val="1"/>
        <color rgb="FF44337A"/>
      </font>
      <fill>
        <patternFill>
          <bgColor rgb="FFE9D8FD"/>
        </patternFill>
      </fill>
    </dxf>
    <dxf>
      <font>
        <name val="Calibri"/>
        <charset val="1"/>
        <family val="0"/>
        <b val="1"/>
        <color rgb="FF2A69AC"/>
      </font>
      <fill>
        <patternFill>
          <bgColor rgb="FFBEE3F8"/>
        </patternFill>
      </fill>
    </dxf>
    <dxf>
      <font>
        <name val="Calibri"/>
        <charset val="1"/>
        <family val="0"/>
        <color rgb="FF276221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8B3A00"/>
      </font>
      <fill>
        <patternFill>
          <bgColor rgb="FFFFCBA4"/>
        </patternFill>
      </fill>
    </dxf>
  </dxfs>
  <colors>
    <indexedColors>
      <rgbColor rgb="FF000000"/>
      <rgbColor rgb="FFFFFFFF"/>
      <rgbColor rgb="FFFFFFF0"/>
      <rgbColor rgb="FFF8F9FA"/>
      <rgbColor rgb="FF6B46C1"/>
      <rgbColor rgb="FFFFD0B0"/>
      <rgbColor rgb="FFFFF0F0"/>
      <rgbColor rgb="FFEDF2F7"/>
      <rgbColor rgb="FF8B0000"/>
      <rgbColor rgb="FF276221"/>
      <rgbColor rgb="FF1F497D"/>
      <rgbColor rgb="FF9C5700"/>
      <rgbColor rgb="FF7B341E"/>
      <rgbColor rgb="FF2C7A7B"/>
      <rgbColor rgb="FFCCCCCC"/>
      <rgbColor rgb="FF878787"/>
      <rgbColor rgb="FF93A9CE"/>
      <rgbColor rgb="FFAB4744"/>
      <rgbColor rgb="FFFFF9E4"/>
      <rgbColor rgb="FFE4FFE4"/>
      <rgbColor rgb="FF742A2A"/>
      <rgbColor rgb="FFDC853E"/>
      <rgbColor rgb="FF2A69AC"/>
      <rgbColor rgb="FFBDD7EE"/>
      <rgbColor rgb="FF1A5C38"/>
      <rgbColor rgb="FFFFFBF0"/>
      <rgbColor rgb="FFFFE4E4"/>
      <rgbColor rgb="FFF0FFF4"/>
      <rgbColor rgb="FF7A2E00"/>
      <rgbColor rgb="FF9C0006"/>
      <rgbColor rgb="FF2D6A4F"/>
      <rgbColor rgb="FF666666"/>
      <rgbColor rgb="FFF0F4FF"/>
      <rgbColor rgb="FFEBF8FF"/>
      <rgbColor rgb="FFC6EFCE"/>
      <rgbColor rgb="FFFFEB9C"/>
      <rgbColor rgb="FFBEE3F8"/>
      <rgbColor rgb="FFFFC7CE"/>
      <rgbColor rgb="FFE9D8FD"/>
      <rgbColor rgb="FFFFCBA4"/>
      <rgbColor rgb="FF4672A8"/>
      <rgbColor rgb="FF498DB7"/>
      <rgbColor rgb="FFD9D9D9"/>
      <rgbColor rgb="FFF0D898"/>
      <rgbColor rgb="FFC9A84C"/>
      <rgbColor rgb="FF7A5000"/>
      <rgbColor rgb="FF725990"/>
      <rgbColor rgb="FF8AA64F"/>
      <rgbColor rgb="FF1A365D"/>
      <rgbColor rgb="FF38A169"/>
      <rgbColor rgb="FF1B2A4A"/>
      <rgbColor rgb="FF2C3E50"/>
      <rgbColor rgb="FF8B3A00"/>
      <rgbColor rgb="FF822727"/>
      <rgbColor rgb="FF44337A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'Pivot Data'!E4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c9a84c"/>
            </a:solidFill>
            <a:ln w="24840">
              <a:solidFill>
                <a:srgbClr val="c9a84c"/>
              </a:solidFill>
              <a:round/>
            </a:ln>
          </c:spPr>
          <c:marker>
            <c:symbol val="circle"/>
            <c:size val="6"/>
            <c:spPr>
              <a:solidFill>
                <a:srgbClr val="c9a84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Data'!$A$5:$A$16</c:f>
              <c:strCache>
                <c:ptCount val="12"/>
                <c:pt idx="0">
                  <c:v>Apr 24</c:v>
                </c:pt>
                <c:pt idx="1">
                  <c:v>May 24</c:v>
                </c:pt>
                <c:pt idx="2">
                  <c:v>Jun 24</c:v>
                </c:pt>
                <c:pt idx="3">
                  <c:v>Jul 24</c:v>
                </c:pt>
                <c:pt idx="4">
                  <c:v>Aug 24</c:v>
                </c:pt>
                <c:pt idx="5">
                  <c:v>Sep 24</c:v>
                </c:pt>
                <c:pt idx="6">
                  <c:v>Oct 24</c:v>
                </c:pt>
                <c:pt idx="7">
                  <c:v>Nov 24</c:v>
                </c:pt>
                <c:pt idx="8">
                  <c:v>Dec 24</c:v>
                </c:pt>
                <c:pt idx="9">
                  <c:v>Jan 25</c:v>
                </c:pt>
                <c:pt idx="10">
                  <c:v>Feb 25</c:v>
                </c:pt>
                <c:pt idx="11">
                  <c:v>Mar 25</c:v>
                </c:pt>
              </c:strCache>
            </c:strRef>
          </c:cat>
          <c:val>
            <c:numRef>
              <c:f>'Pivot Data'!$E$5:$E$16</c:f>
              <c:numCache>
                <c:formatCode>\₹#,##0</c:formatCode>
                <c:ptCount val="12"/>
                <c:pt idx="0">
                  <c:v>49150000</c:v>
                </c:pt>
                <c:pt idx="1">
                  <c:v>76710000</c:v>
                </c:pt>
                <c:pt idx="2">
                  <c:v>122950000</c:v>
                </c:pt>
                <c:pt idx="3">
                  <c:v>81210000</c:v>
                </c:pt>
                <c:pt idx="4">
                  <c:v>177450000</c:v>
                </c:pt>
                <c:pt idx="5">
                  <c:v>103410000</c:v>
                </c:pt>
                <c:pt idx="6">
                  <c:v>33810000</c:v>
                </c:pt>
                <c:pt idx="7">
                  <c:v>70270000</c:v>
                </c:pt>
                <c:pt idx="8">
                  <c:v>86560000</c:v>
                </c:pt>
                <c:pt idx="9">
                  <c:v>149770000</c:v>
                </c:pt>
                <c:pt idx="10">
                  <c:v>136090000</c:v>
                </c:pt>
                <c:pt idx="11">
                  <c:v>139260000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2740803"/>
        <c:axId val="46028332"/>
      </c:lineChart>
      <c:catAx>
        <c:axId val="527408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28332"/>
        <c:crosses val="autoZero"/>
        <c:auto val="1"/>
        <c:lblAlgn val="ctr"/>
        <c:lblOffset val="100"/>
        <c:noMultiLvlLbl val="0"/>
      </c:catAx>
      <c:valAx>
        <c:axId val="460283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408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'Pivot Data'!B20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b2a4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Data'!$A$21:$A$27</c:f>
              <c:strCache>
                <c:ptCount val="7"/>
                <c:pt idx="0">
                  <c:v>New</c:v>
                </c:pt>
                <c:pt idx="1">
                  <c:v>Follow-up</c:v>
                </c:pt>
                <c:pt idx="2">
                  <c:v>Site Visit Scheduled</c:v>
                </c:pt>
                <c:pt idx="3">
                  <c:v>Site Visit Completed</c:v>
                </c:pt>
                <c:pt idx="4">
                  <c:v>Negotiation</c:v>
                </c:pt>
                <c:pt idx="5">
                  <c:v>Booked</c:v>
                </c:pt>
                <c:pt idx="6">
                  <c:v>Lost</c:v>
                </c:pt>
              </c:strCache>
            </c:strRef>
          </c:cat>
          <c:val>
            <c:numRef>
              <c:f>'Pivot Data'!$B$21:$B$27</c:f>
              <c:numCache>
                <c:formatCode>General</c:formatCode>
                <c:ptCount val="7"/>
                <c:pt idx="0">
                  <c:v>74</c:v>
                </c:pt>
                <c:pt idx="1">
                  <c:v>98</c:v>
                </c:pt>
                <c:pt idx="2">
                  <c:v>61</c:v>
                </c:pt>
                <c:pt idx="3">
                  <c:v>70</c:v>
                </c:pt>
                <c:pt idx="4">
                  <c:v>65</c:v>
                </c:pt>
                <c:pt idx="5">
                  <c:v>85</c:v>
                </c:pt>
                <c:pt idx="6">
                  <c:v>47</c:v>
                </c:pt>
              </c:numCache>
            </c:numRef>
          </c:val>
        </c:ser>
        <c:gapWidth val="150"/>
        <c:overlap val="0"/>
        <c:axId val="22657409"/>
        <c:axId val="92295044"/>
      </c:barChart>
      <c:catAx>
        <c:axId val="226574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95044"/>
        <c:crosses val="autoZero"/>
        <c:auto val="1"/>
        <c:lblAlgn val="ctr"/>
        <c:lblOffset val="100"/>
        <c:noMultiLvlLbl val="0"/>
      </c:catAx>
      <c:valAx>
        <c:axId val="922950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574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'Pivot Data'!H4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'Pivot Data'!$G$5:$G$11</c:f>
              <c:strCache>
                <c:ptCount val="7"/>
                <c:pt idx="0">
                  <c:v>Facebook</c:v>
                </c:pt>
                <c:pt idx="1">
                  <c:v>Website</c:v>
                </c:pt>
                <c:pt idx="2">
                  <c:v>Google Ads</c:v>
                </c:pt>
                <c:pt idx="3">
                  <c:v>Referral</c:v>
                </c:pt>
                <c:pt idx="4">
                  <c:v>Channel Partner</c:v>
                </c:pt>
                <c:pt idx="5">
                  <c:v>Walk-in</c:v>
                </c:pt>
                <c:pt idx="6">
                  <c:v>Property Portal</c:v>
                </c:pt>
              </c:strCache>
            </c:strRef>
          </c:cat>
          <c:val>
            <c:numRef>
              <c:f>'Pivot Data'!$H$5:$H$11</c:f>
              <c:numCache>
                <c:formatCode>General</c:formatCode>
                <c:ptCount val="7"/>
                <c:pt idx="0">
                  <c:v>63</c:v>
                </c:pt>
                <c:pt idx="1">
                  <c:v>66</c:v>
                </c:pt>
                <c:pt idx="2">
                  <c:v>59</c:v>
                </c:pt>
                <c:pt idx="3">
                  <c:v>87</c:v>
                </c:pt>
                <c:pt idx="4">
                  <c:v>66</c:v>
                </c:pt>
                <c:pt idx="5">
                  <c:v>95</c:v>
                </c:pt>
                <c:pt idx="6">
                  <c:v>64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'Pivot Data'!N4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2c7a7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Data'!$L$5:$L$12</c:f>
              <c:strCache>
                <c:ptCount val="8"/>
                <c:pt idx="0">
                  <c:v>Godrej Azure</c:v>
                </c:pt>
                <c:pt idx="1">
                  <c:v>Godrej Horizon</c:v>
                </c:pt>
                <c:pt idx="2">
                  <c:v>Godrej Infinity</c:v>
                </c:pt>
                <c:pt idx="3">
                  <c:v>Godrej Prime</c:v>
                </c:pt>
                <c:pt idx="4">
                  <c:v>Godrej Reserve</c:v>
                </c:pt>
                <c:pt idx="5">
                  <c:v>Godrej Meridian</c:v>
                </c:pt>
                <c:pt idx="6">
                  <c:v>Godrej Summit</c:v>
                </c:pt>
                <c:pt idx="7">
                  <c:v>Godrej Esteem</c:v>
                </c:pt>
              </c:strCache>
            </c:strRef>
          </c:cat>
          <c:val>
            <c:numRef>
              <c:f>'Pivot Data'!$N$5:$N$12</c:f>
              <c:numCache>
                <c:formatCode>\₹#,##0</c:formatCode>
                <c:ptCount val="8"/>
                <c:pt idx="0">
                  <c:v>196640000</c:v>
                </c:pt>
                <c:pt idx="1">
                  <c:v>138440000</c:v>
                </c:pt>
                <c:pt idx="2">
                  <c:v>158120000</c:v>
                </c:pt>
                <c:pt idx="3">
                  <c:v>146380000</c:v>
                </c:pt>
                <c:pt idx="4">
                  <c:v>247810000</c:v>
                </c:pt>
                <c:pt idx="5">
                  <c:v>128350000</c:v>
                </c:pt>
                <c:pt idx="6">
                  <c:v>89880000</c:v>
                </c:pt>
                <c:pt idx="7">
                  <c:v>121020000</c:v>
                </c:pt>
              </c:numCache>
            </c:numRef>
          </c:val>
        </c:ser>
        <c:gapWidth val="150"/>
        <c:overlap val="0"/>
        <c:axId val="48967453"/>
        <c:axId val="39169752"/>
      </c:barChart>
      <c:catAx>
        <c:axId val="489674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69752"/>
        <c:crosses val="autoZero"/>
        <c:auto val="1"/>
        <c:lblAlgn val="ctr"/>
        <c:lblOffset val="100"/>
        <c:noMultiLvlLbl val="0"/>
      </c:catAx>
      <c:valAx>
        <c:axId val="391697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674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'Pivot Data'!I20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6b46c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Data'!$G$21:$G$30</c:f>
              <c:strCache>
                <c:ptCount val="10"/>
                <c:pt idx="0">
                  <c:v>Sneha Patel</c:v>
                </c:pt>
                <c:pt idx="1">
                  <c:v>Divya Reddy</c:v>
                </c:pt>
                <c:pt idx="2">
                  <c:v>Amit Joshi</c:v>
                </c:pt>
                <c:pt idx="3">
                  <c:v>Karan Singh</c:v>
                </c:pt>
                <c:pt idx="4">
                  <c:v>Rahul Nair</c:v>
                </c:pt>
                <c:pt idx="5">
                  <c:v>Priyanka Sharma</c:v>
                </c:pt>
                <c:pt idx="6">
                  <c:v>Arjun Mehta</c:v>
                </c:pt>
                <c:pt idx="7">
                  <c:v>Ravi Kumar</c:v>
                </c:pt>
                <c:pt idx="8">
                  <c:v>Pooja Gupta</c:v>
                </c:pt>
                <c:pt idx="9">
                  <c:v>Sunita Verma</c:v>
                </c:pt>
              </c:strCache>
            </c:strRef>
          </c:cat>
          <c:val>
            <c:numRef>
              <c:f>'Pivot Data'!$I$21:$I$30</c:f>
              <c:numCache>
                <c:formatCode>\₹#,##0</c:formatCode>
                <c:ptCount val="10"/>
                <c:pt idx="0">
                  <c:v>188760000</c:v>
                </c:pt>
                <c:pt idx="1">
                  <c:v>179070000</c:v>
                </c:pt>
                <c:pt idx="2">
                  <c:v>88960000</c:v>
                </c:pt>
                <c:pt idx="3">
                  <c:v>174890000</c:v>
                </c:pt>
                <c:pt idx="4">
                  <c:v>70510000</c:v>
                </c:pt>
                <c:pt idx="5">
                  <c:v>181730000</c:v>
                </c:pt>
                <c:pt idx="6">
                  <c:v>85990000</c:v>
                </c:pt>
                <c:pt idx="7">
                  <c:v>132620000</c:v>
                </c:pt>
                <c:pt idx="8">
                  <c:v>81280000</c:v>
                </c:pt>
                <c:pt idx="9">
                  <c:v>42830000</c:v>
                </c:pt>
              </c:numCache>
            </c:numRef>
          </c:val>
        </c:ser>
        <c:gapWidth val="150"/>
        <c:overlap val="0"/>
        <c:axId val="14610923"/>
        <c:axId val="94816539"/>
      </c:barChart>
      <c:catAx>
        <c:axId val="146109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16539"/>
        <c:crosses val="autoZero"/>
        <c:auto val="1"/>
        <c:lblAlgn val="ctr"/>
        <c:lblOffset val="100"/>
        <c:noMultiLvlLbl val="0"/>
      </c:catAx>
      <c:valAx>
        <c:axId val="948165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6109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'Pivot Data'!D4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rgbClr val="38a169"/>
            </a:solidFill>
            <a:ln w="24840">
              <a:solidFill>
                <a:srgbClr val="38a169"/>
              </a:solidFill>
              <a:round/>
            </a:ln>
          </c:spPr>
          <c:marker>
            <c:symbol val="diamond"/>
            <c:size val="6"/>
            <c:spPr>
              <a:solidFill>
                <a:srgbClr val="38a16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Data'!$A$5:$A$16</c:f>
              <c:strCache>
                <c:ptCount val="12"/>
                <c:pt idx="0">
                  <c:v>Apr 24</c:v>
                </c:pt>
                <c:pt idx="1">
                  <c:v>May 24</c:v>
                </c:pt>
                <c:pt idx="2">
                  <c:v>Jun 24</c:v>
                </c:pt>
                <c:pt idx="3">
                  <c:v>Jul 24</c:v>
                </c:pt>
                <c:pt idx="4">
                  <c:v>Aug 24</c:v>
                </c:pt>
                <c:pt idx="5">
                  <c:v>Sep 24</c:v>
                </c:pt>
                <c:pt idx="6">
                  <c:v>Oct 24</c:v>
                </c:pt>
                <c:pt idx="7">
                  <c:v>Nov 24</c:v>
                </c:pt>
                <c:pt idx="8">
                  <c:v>Dec 24</c:v>
                </c:pt>
                <c:pt idx="9">
                  <c:v>Jan 25</c:v>
                </c:pt>
                <c:pt idx="10">
                  <c:v>Feb 25</c:v>
                </c:pt>
                <c:pt idx="11">
                  <c:v>Mar 25</c:v>
                </c:pt>
              </c:strCache>
            </c:strRef>
          </c:cat>
          <c:val>
            <c:numRef>
              <c:f>'Pivot Data'!$D$5:$D$16</c:f>
              <c:numCache>
                <c:formatCode>General</c:formatCode>
                <c:ptCount val="12"/>
                <c:pt idx="0">
                  <c:v>6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3</c:v>
                </c:pt>
                <c:pt idx="6">
                  <c:v>7</c:v>
                </c:pt>
                <c:pt idx="7">
                  <c:v>10</c:v>
                </c:pt>
                <c:pt idx="8">
                  <c:v>7</c:v>
                </c:pt>
                <c:pt idx="9">
                  <c:v>9</c:v>
                </c:pt>
                <c:pt idx="10">
                  <c:v>7</c:v>
                </c:pt>
                <c:pt idx="11">
                  <c:v>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1385044"/>
        <c:axId val="27967783"/>
      </c:lineChart>
      <c:catAx>
        <c:axId val="713850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67783"/>
        <c:crosses val="autoZero"/>
        <c:auto val="1"/>
        <c:lblAlgn val="ctr"/>
        <c:lblOffset val="100"/>
        <c:noMultiLvlLbl val="0"/>
      </c:catAx>
      <c:valAx>
        <c:axId val="279677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850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18</xdr:col>
      <xdr:colOff>243360</xdr:colOff>
      <xdr:row>35</xdr:row>
      <xdr:rowOff>72360</xdr:rowOff>
    </xdr:to>
    <xdr:graphicFrame>
      <xdr:nvGraphicFramePr>
        <xdr:cNvPr id="0" name="Chart 1"/>
        <xdr:cNvGraphicFramePr/>
      </xdr:nvGraphicFramePr>
      <xdr:xfrm>
        <a:off x="0" y="3486240"/>
        <a:ext cx="6838560" cy="39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18</xdr:row>
      <xdr:rowOff>0</xdr:rowOff>
    </xdr:from>
    <xdr:to>
      <xdr:col>25</xdr:col>
      <xdr:colOff>281880</xdr:colOff>
      <xdr:row>35</xdr:row>
      <xdr:rowOff>72360</xdr:rowOff>
    </xdr:to>
    <xdr:graphicFrame>
      <xdr:nvGraphicFramePr>
        <xdr:cNvPr id="1" name="Chart 2"/>
        <xdr:cNvGraphicFramePr/>
      </xdr:nvGraphicFramePr>
      <xdr:xfrm>
        <a:off x="4763160" y="3486240"/>
        <a:ext cx="4678560" cy="39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0</xdr:rowOff>
    </xdr:from>
    <xdr:to>
      <xdr:col>18</xdr:col>
      <xdr:colOff>243360</xdr:colOff>
      <xdr:row>55</xdr:row>
      <xdr:rowOff>169560</xdr:rowOff>
    </xdr:to>
    <xdr:graphicFrame>
      <xdr:nvGraphicFramePr>
        <xdr:cNvPr id="2" name="Chart 3"/>
        <xdr:cNvGraphicFramePr/>
      </xdr:nvGraphicFramePr>
      <xdr:xfrm>
        <a:off x="0" y="8429760"/>
        <a:ext cx="683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40</xdr:row>
      <xdr:rowOff>0</xdr:rowOff>
    </xdr:from>
    <xdr:to>
      <xdr:col>25</xdr:col>
      <xdr:colOff>281880</xdr:colOff>
      <xdr:row>55</xdr:row>
      <xdr:rowOff>169560</xdr:rowOff>
    </xdr:to>
    <xdr:graphicFrame>
      <xdr:nvGraphicFramePr>
        <xdr:cNvPr id="3" name="Chart 4"/>
        <xdr:cNvGraphicFramePr/>
      </xdr:nvGraphicFramePr>
      <xdr:xfrm>
        <a:off x="4763160" y="8429760"/>
        <a:ext cx="467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59</xdr:row>
      <xdr:rowOff>0</xdr:rowOff>
    </xdr:from>
    <xdr:to>
      <xdr:col>18</xdr:col>
      <xdr:colOff>243360</xdr:colOff>
      <xdr:row>74</xdr:row>
      <xdr:rowOff>169560</xdr:rowOff>
    </xdr:to>
    <xdr:graphicFrame>
      <xdr:nvGraphicFramePr>
        <xdr:cNvPr id="4" name="Chart 5"/>
        <xdr:cNvGraphicFramePr/>
      </xdr:nvGraphicFramePr>
      <xdr:xfrm>
        <a:off x="0" y="12687480"/>
        <a:ext cx="683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0</xdr:colOff>
      <xdr:row>59</xdr:row>
      <xdr:rowOff>0</xdr:rowOff>
    </xdr:from>
    <xdr:to>
      <xdr:col>25</xdr:col>
      <xdr:colOff>281880</xdr:colOff>
      <xdr:row>74</xdr:row>
      <xdr:rowOff>169560</xdr:rowOff>
    </xdr:to>
    <xdr:graphicFrame>
      <xdr:nvGraphicFramePr>
        <xdr:cNvPr id="5" name="Chart 6"/>
        <xdr:cNvGraphicFramePr/>
      </xdr:nvGraphicFramePr>
      <xdr:xfrm>
        <a:off x="4763160" y="12687480"/>
        <a:ext cx="467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19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6" min="1" style="1" width="5.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8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3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9.5" hidden="false" customHeight="true" outlineLevel="0" collapsed="false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9.5" hidden="false" customHeight="true" outlineLevel="0" collapsed="false">
      <c r="A6" s="7" t="s">
        <v>4</v>
      </c>
      <c r="B6" s="7"/>
      <c r="C6" s="7"/>
      <c r="D6" s="7"/>
      <c r="E6" s="8" t="s">
        <v>5</v>
      </c>
      <c r="F6" s="8"/>
      <c r="G6" s="8"/>
      <c r="H6" s="8"/>
      <c r="I6" s="9" t="s">
        <v>6</v>
      </c>
      <c r="J6" s="9"/>
      <c r="K6" s="9"/>
      <c r="L6" s="9"/>
      <c r="M6" s="10" t="s">
        <v>7</v>
      </c>
      <c r="N6" s="10"/>
      <c r="O6" s="10"/>
      <c r="P6" s="10"/>
      <c r="Q6" s="11" t="s">
        <v>8</v>
      </c>
      <c r="R6" s="11"/>
      <c r="S6" s="11"/>
      <c r="T6" s="11"/>
      <c r="U6" s="12" t="s">
        <v>9</v>
      </c>
      <c r="V6" s="12"/>
      <c r="W6" s="12"/>
      <c r="X6" s="12"/>
    </row>
    <row r="7" customFormat="false" ht="7.5" hidden="false" customHeight="true" outlineLevel="0" collapsed="false">
      <c r="A7" s="13"/>
      <c r="B7" s="13"/>
      <c r="C7" s="13"/>
      <c r="D7" s="13"/>
      <c r="E7" s="14"/>
      <c r="F7" s="14"/>
      <c r="G7" s="14"/>
      <c r="H7" s="14"/>
      <c r="I7" s="15"/>
      <c r="J7" s="15"/>
      <c r="K7" s="15"/>
      <c r="L7" s="15"/>
      <c r="M7" s="16"/>
      <c r="N7" s="16"/>
      <c r="O7" s="16"/>
      <c r="P7" s="16"/>
      <c r="Q7" s="17"/>
      <c r="R7" s="17"/>
      <c r="S7" s="17"/>
      <c r="T7" s="17"/>
      <c r="U7" s="18"/>
      <c r="V7" s="18"/>
      <c r="W7" s="18"/>
      <c r="X7" s="18"/>
    </row>
    <row r="8" customFormat="false" ht="27.75" hidden="false" customHeight="true" outlineLevel="0" collapsed="false">
      <c r="A8" s="2" t="s">
        <v>10</v>
      </c>
      <c r="B8" s="2"/>
      <c r="C8" s="2"/>
      <c r="D8" s="2"/>
      <c r="E8" s="19" t="s">
        <v>11</v>
      </c>
      <c r="F8" s="19"/>
      <c r="G8" s="19"/>
      <c r="H8" s="19"/>
      <c r="I8" s="20" t="s">
        <v>12</v>
      </c>
      <c r="J8" s="20"/>
      <c r="K8" s="20"/>
      <c r="L8" s="20"/>
      <c r="M8" s="21" t="s">
        <v>13</v>
      </c>
      <c r="N8" s="21"/>
      <c r="O8" s="21"/>
      <c r="P8" s="21"/>
      <c r="Q8" s="22" t="s">
        <v>14</v>
      </c>
      <c r="R8" s="22"/>
      <c r="S8" s="22"/>
      <c r="T8" s="22"/>
      <c r="U8" s="23" t="s">
        <v>15</v>
      </c>
      <c r="V8" s="23"/>
      <c r="W8" s="23"/>
      <c r="X8" s="23"/>
    </row>
    <row r="9" customFormat="false" ht="7.5" hidden="false" customHeight="true" outlineLevel="0" collapsed="false">
      <c r="A9" s="13"/>
      <c r="B9" s="13"/>
      <c r="C9" s="13"/>
      <c r="D9" s="13"/>
      <c r="E9" s="14"/>
      <c r="F9" s="14"/>
      <c r="G9" s="14"/>
      <c r="H9" s="14"/>
      <c r="I9" s="15"/>
      <c r="J9" s="15"/>
      <c r="K9" s="15"/>
      <c r="L9" s="15"/>
      <c r="M9" s="16"/>
      <c r="N9" s="16"/>
      <c r="O9" s="16"/>
      <c r="P9" s="16"/>
      <c r="Q9" s="17"/>
      <c r="R9" s="17"/>
      <c r="S9" s="17"/>
      <c r="T9" s="17"/>
      <c r="U9" s="18"/>
      <c r="V9" s="18"/>
      <c r="W9" s="18"/>
      <c r="X9" s="18"/>
    </row>
    <row r="10" customFormat="false" ht="15.75" hidden="false" customHeight="true" outlineLevel="0" collapsed="false">
      <c r="A10" s="24" t="s">
        <v>16</v>
      </c>
      <c r="B10" s="24"/>
      <c r="C10" s="24"/>
      <c r="D10" s="24"/>
      <c r="E10" s="25" t="s">
        <v>17</v>
      </c>
      <c r="F10" s="25"/>
      <c r="G10" s="25"/>
      <c r="H10" s="25"/>
      <c r="I10" s="26" t="s">
        <v>18</v>
      </c>
      <c r="J10" s="26"/>
      <c r="K10" s="26"/>
      <c r="L10" s="26"/>
      <c r="M10" s="27" t="s">
        <v>19</v>
      </c>
      <c r="N10" s="27"/>
      <c r="O10" s="27"/>
      <c r="P10" s="27"/>
      <c r="Q10" s="28" t="s">
        <v>20</v>
      </c>
      <c r="R10" s="28"/>
      <c r="S10" s="28"/>
      <c r="T10" s="28"/>
      <c r="U10" s="29" t="s">
        <v>21</v>
      </c>
      <c r="V10" s="29"/>
      <c r="W10" s="29"/>
      <c r="X10" s="29"/>
    </row>
    <row r="11" customFormat="false" ht="3.75" hidden="false" customHeight="true" outlineLevel="0" collapsed="false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</row>
    <row r="12" customFormat="false" ht="18" hidden="false" customHeight="true" outlineLevel="0" collapsed="false">
      <c r="A12" s="31" t="s">
        <v>22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customFormat="false" ht="15.75" hidden="false" customHeight="true" outlineLevel="0" collapsed="false">
      <c r="A13" s="32" t="s">
        <v>23</v>
      </c>
      <c r="B13" s="32"/>
      <c r="C13" s="32"/>
      <c r="D13" s="32"/>
      <c r="E13" s="33" t="s">
        <v>24</v>
      </c>
      <c r="F13" s="33"/>
      <c r="G13" s="33"/>
      <c r="H13" s="33"/>
      <c r="I13" s="34" t="s">
        <v>25</v>
      </c>
      <c r="J13" s="34"/>
      <c r="K13" s="34"/>
      <c r="L13" s="34"/>
      <c r="M13" s="35" t="s">
        <v>26</v>
      </c>
      <c r="N13" s="35"/>
      <c r="O13" s="35"/>
      <c r="P13" s="35"/>
      <c r="Q13" s="36" t="s">
        <v>27</v>
      </c>
      <c r="R13" s="36"/>
      <c r="S13" s="36"/>
      <c r="T13" s="36"/>
      <c r="U13" s="37" t="s">
        <v>28</v>
      </c>
      <c r="V13" s="37"/>
      <c r="W13" s="37"/>
      <c r="X13" s="37"/>
    </row>
    <row r="14" customFormat="false" ht="24" hidden="false" customHeight="true" outlineLevel="0" collapsed="false">
      <c r="A14" s="38" t="s">
        <v>29</v>
      </c>
      <c r="B14" s="38"/>
      <c r="C14" s="38"/>
      <c r="D14" s="38"/>
      <c r="E14" s="39" t="s">
        <v>30</v>
      </c>
      <c r="F14" s="39"/>
      <c r="G14" s="39"/>
      <c r="H14" s="39"/>
      <c r="I14" s="40" t="s">
        <v>31</v>
      </c>
      <c r="J14" s="40"/>
      <c r="K14" s="40"/>
      <c r="L14" s="40"/>
      <c r="M14" s="41" t="s">
        <v>32</v>
      </c>
      <c r="N14" s="41"/>
      <c r="O14" s="41"/>
      <c r="P14" s="41"/>
      <c r="Q14" s="42" t="s">
        <v>33</v>
      </c>
      <c r="R14" s="42"/>
      <c r="S14" s="42"/>
      <c r="T14" s="42"/>
      <c r="U14" s="43" t="s">
        <v>34</v>
      </c>
      <c r="V14" s="43"/>
      <c r="W14" s="43"/>
      <c r="X14" s="43"/>
    </row>
    <row r="15" customFormat="false" ht="7.5" hidden="false" customHeight="true" outlineLevel="0" collapsed="false">
      <c r="A15" s="44"/>
      <c r="B15" s="44"/>
      <c r="C15" s="44"/>
      <c r="D15" s="44"/>
      <c r="E15" s="45"/>
      <c r="F15" s="45"/>
      <c r="G15" s="45"/>
      <c r="H15" s="45"/>
      <c r="I15" s="46"/>
      <c r="J15" s="46"/>
      <c r="K15" s="46"/>
      <c r="L15" s="46"/>
      <c r="M15" s="47"/>
      <c r="N15" s="47"/>
      <c r="O15" s="47"/>
      <c r="P15" s="47"/>
      <c r="Q15" s="48"/>
      <c r="R15" s="48"/>
      <c r="S15" s="48"/>
      <c r="T15" s="48"/>
      <c r="U15" s="49"/>
      <c r="V15" s="49"/>
      <c r="W15" s="49"/>
      <c r="X15" s="49"/>
    </row>
    <row r="16" customFormat="false" ht="3" hidden="false" customHeight="true" outlineLevel="0" collapsed="false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</row>
    <row r="17" customFormat="false" ht="7.5" hidden="false" customHeight="true" outlineLevel="0" collapsed="false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customFormat="false" ht="21.75" hidden="false" customHeight="true" outlineLevel="0" collapsed="false">
      <c r="A18" s="6" t="s">
        <v>35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 t="s">
        <v>36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7.5" hidden="false" customHeight="true" outlineLevel="0" collapsed="false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customFormat="false" ht="21.75" hidden="false" customHeight="true" outlineLevel="0" collapsed="false">
      <c r="A40" s="6" t="s">
        <v>37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 t="s">
        <v>38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7.5" hidden="false" customHeight="true" outlineLevel="0" collapsed="false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customFormat="false" ht="21.75" hidden="false" customHeight="true" outlineLevel="0" collapsed="false">
      <c r="A59" s="6" t="s">
        <v>39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 t="s">
        <v>40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3" hidden="false" customHeight="true" outlineLevel="0" collapsed="false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customFormat="false" ht="15.75" hidden="false" customHeight="true" outlineLevel="0" collapsed="false">
      <c r="A77" s="52" t="s">
        <v>41</v>
      </c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customFormat="false" ht="15.75" hidden="false" customHeight="true" outlineLevel="0" collapsed="false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customFormat="false" ht="15.75" hidden="false" customHeight="true" outlineLevel="0" collapsed="false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customFormat="false" ht="18" hidden="false" customHeight="true" outlineLevel="0" collapsed="false"/>
    <row r="81" customFormat="false" ht="21.75" hidden="false" customHeight="true" outlineLevel="0" collapsed="false">
      <c r="A81" s="53" t="s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customFormat="false" ht="18" hidden="false" customHeight="true" outlineLevel="0" collapsed="false">
      <c r="A82" s="54" t="s">
        <v>43</v>
      </c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customFormat="false" ht="21.75" hidden="false" customHeight="true" outlineLevel="0" collapsed="false">
      <c r="A83" s="55" t="s">
        <v>44</v>
      </c>
      <c r="B83" s="55" t="s">
        <v>45</v>
      </c>
      <c r="C83" s="55" t="s">
        <v>46</v>
      </c>
      <c r="D83" s="55" t="s">
        <v>47</v>
      </c>
      <c r="E83" s="55" t="s">
        <v>48</v>
      </c>
      <c r="F83" s="55" t="s">
        <v>49</v>
      </c>
      <c r="G83" s="55" t="s">
        <v>50</v>
      </c>
      <c r="H83" s="55" t="s">
        <v>51</v>
      </c>
      <c r="I83" s="55" t="s">
        <v>52</v>
      </c>
      <c r="J83" s="55" t="s">
        <v>53</v>
      </c>
    </row>
    <row r="84" customFormat="false" ht="18" hidden="false" customHeight="true" outlineLevel="0" collapsed="false">
      <c r="A84" s="56" t="s">
        <v>54</v>
      </c>
      <c r="B84" s="57" t="n">
        <v>45</v>
      </c>
      <c r="C84" s="57" t="n">
        <v>34</v>
      </c>
      <c r="D84" s="58" t="n">
        <f aca="false">IFERROR(C84/B84,0)</f>
        <v>0.755555555555556</v>
      </c>
      <c r="E84" s="57" t="n">
        <v>7</v>
      </c>
      <c r="F84" s="57" t="n">
        <v>6</v>
      </c>
      <c r="G84" s="58" t="n">
        <f aca="false">IFERROR(F84/E84,0)</f>
        <v>0.857142857142857</v>
      </c>
      <c r="H84" s="59" t="n">
        <v>15</v>
      </c>
      <c r="I84" s="59" t="n">
        <v>4.92</v>
      </c>
      <c r="J84" s="58" t="n">
        <f aca="false">IFERROR(I84/H84,0)</f>
        <v>0.328</v>
      </c>
    </row>
    <row r="85" customFormat="false" ht="18" hidden="false" customHeight="true" outlineLevel="0" collapsed="false">
      <c r="A85" s="60" t="s">
        <v>55</v>
      </c>
      <c r="B85" s="61" t="n">
        <v>48</v>
      </c>
      <c r="C85" s="61" t="n">
        <v>47</v>
      </c>
      <c r="D85" s="62" t="n">
        <f aca="false">IFERROR(C85/B85,0)</f>
        <v>0.979166666666667</v>
      </c>
      <c r="E85" s="61" t="n">
        <v>8</v>
      </c>
      <c r="F85" s="61" t="n">
        <v>9</v>
      </c>
      <c r="G85" s="62" t="n">
        <f aca="false">IFERROR(F85/E85,0)</f>
        <v>1.125</v>
      </c>
      <c r="H85" s="63" t="n">
        <v>16</v>
      </c>
      <c r="I85" s="63" t="n">
        <v>7.67</v>
      </c>
      <c r="J85" s="62" t="n">
        <f aca="false">IFERROR(I85/H85,0)</f>
        <v>0.479375</v>
      </c>
    </row>
    <row r="86" customFormat="false" ht="18" hidden="false" customHeight="true" outlineLevel="0" collapsed="false">
      <c r="A86" s="56" t="s">
        <v>56</v>
      </c>
      <c r="B86" s="57" t="n">
        <v>48</v>
      </c>
      <c r="C86" s="57" t="n">
        <v>46</v>
      </c>
      <c r="D86" s="58" t="n">
        <f aca="false">IFERROR(C86/B86,0)</f>
        <v>0.958333333333333</v>
      </c>
      <c r="E86" s="57" t="n">
        <v>8</v>
      </c>
      <c r="F86" s="57" t="n">
        <v>8</v>
      </c>
      <c r="G86" s="58" t="n">
        <f aca="false">IFERROR(F86/E86,0)</f>
        <v>1</v>
      </c>
      <c r="H86" s="59" t="n">
        <v>16</v>
      </c>
      <c r="I86" s="59" t="n">
        <v>12.3</v>
      </c>
      <c r="J86" s="58" t="n">
        <f aca="false">IFERROR(I86/H86,0)</f>
        <v>0.76875</v>
      </c>
    </row>
    <row r="87" customFormat="false" ht="18" hidden="false" customHeight="true" outlineLevel="0" collapsed="false">
      <c r="A87" s="60" t="s">
        <v>57</v>
      </c>
      <c r="B87" s="61" t="n">
        <v>45</v>
      </c>
      <c r="C87" s="61" t="n">
        <v>39</v>
      </c>
      <c r="D87" s="62" t="n">
        <f aca="false">IFERROR(C87/B87,0)</f>
        <v>0.866666666666667</v>
      </c>
      <c r="E87" s="61" t="n">
        <v>8</v>
      </c>
      <c r="F87" s="61" t="n">
        <v>9</v>
      </c>
      <c r="G87" s="62" t="n">
        <f aca="false">IFERROR(F87/E87,0)</f>
        <v>1.125</v>
      </c>
      <c r="H87" s="63" t="n">
        <v>16</v>
      </c>
      <c r="I87" s="63" t="n">
        <v>8.12</v>
      </c>
      <c r="J87" s="62" t="n">
        <f aca="false">IFERROR(I87/H87,0)</f>
        <v>0.5075</v>
      </c>
    </row>
    <row r="88" customFormat="false" ht="18" hidden="false" customHeight="true" outlineLevel="0" collapsed="false">
      <c r="A88" s="56" t="s">
        <v>58</v>
      </c>
      <c r="B88" s="57" t="n">
        <v>45</v>
      </c>
      <c r="C88" s="57" t="n">
        <v>39</v>
      </c>
      <c r="D88" s="58" t="n">
        <f aca="false">IFERROR(C88/B88,0)</f>
        <v>0.866666666666667</v>
      </c>
      <c r="E88" s="57" t="n">
        <v>8</v>
      </c>
      <c r="F88" s="57" t="n">
        <v>8</v>
      </c>
      <c r="G88" s="58" t="n">
        <f aca="false">IFERROR(F88/E88,0)</f>
        <v>1</v>
      </c>
      <c r="H88" s="59" t="n">
        <v>16</v>
      </c>
      <c r="I88" s="59" t="n">
        <v>17.75</v>
      </c>
      <c r="J88" s="58" t="n">
        <f aca="false">IFERROR(I88/H88,0)</f>
        <v>1.109375</v>
      </c>
    </row>
    <row r="89" customFormat="false" ht="18" hidden="false" customHeight="true" outlineLevel="0" collapsed="false">
      <c r="A89" s="60" t="s">
        <v>59</v>
      </c>
      <c r="B89" s="61" t="n">
        <v>45</v>
      </c>
      <c r="C89" s="61" t="n">
        <v>40</v>
      </c>
      <c r="D89" s="62" t="n">
        <f aca="false">IFERROR(C89/B89,0)</f>
        <v>0.888888888888889</v>
      </c>
      <c r="E89" s="61" t="n">
        <v>7</v>
      </c>
      <c r="F89" s="61" t="n">
        <v>3</v>
      </c>
      <c r="G89" s="62" t="n">
        <f aca="false">IFERROR(F89/E89,0)</f>
        <v>0.428571428571429</v>
      </c>
      <c r="H89" s="63" t="n">
        <v>14</v>
      </c>
      <c r="I89" s="63" t="n">
        <v>10.34</v>
      </c>
      <c r="J89" s="62" t="n">
        <f aca="false">IFERROR(I89/H89,0)</f>
        <v>0.738571428571429</v>
      </c>
    </row>
    <row r="90" customFormat="false" ht="18" hidden="false" customHeight="true" outlineLevel="0" collapsed="false">
      <c r="A90" s="56" t="s">
        <v>60</v>
      </c>
      <c r="B90" s="57" t="n">
        <v>50</v>
      </c>
      <c r="C90" s="57" t="n">
        <v>48</v>
      </c>
      <c r="D90" s="58" t="n">
        <f aca="false">IFERROR(C90/B90,0)</f>
        <v>0.96</v>
      </c>
      <c r="E90" s="57" t="n">
        <v>8</v>
      </c>
      <c r="F90" s="57" t="n">
        <v>7</v>
      </c>
      <c r="G90" s="58" t="n">
        <f aca="false">IFERROR(F90/E90,0)</f>
        <v>0.875</v>
      </c>
      <c r="H90" s="59" t="n">
        <v>16</v>
      </c>
      <c r="I90" s="59" t="n">
        <v>3.38</v>
      </c>
      <c r="J90" s="58" t="n">
        <f aca="false">IFERROR(I90/H90,0)</f>
        <v>0.21125</v>
      </c>
    </row>
    <row r="91" customFormat="false" ht="18" hidden="false" customHeight="true" outlineLevel="0" collapsed="false">
      <c r="A91" s="60" t="s">
        <v>61</v>
      </c>
      <c r="B91" s="61" t="n">
        <v>50</v>
      </c>
      <c r="C91" s="61" t="n">
        <v>52</v>
      </c>
      <c r="D91" s="62" t="n">
        <f aca="false">IFERROR(C91/B91,0)</f>
        <v>1.04</v>
      </c>
      <c r="E91" s="61" t="n">
        <v>9</v>
      </c>
      <c r="F91" s="61" t="n">
        <v>10</v>
      </c>
      <c r="G91" s="62" t="n">
        <f aca="false">IFERROR(F91/E91,0)</f>
        <v>1.11111111111111</v>
      </c>
      <c r="H91" s="63" t="n">
        <v>18</v>
      </c>
      <c r="I91" s="63" t="n">
        <v>7.03</v>
      </c>
      <c r="J91" s="62" t="n">
        <f aca="false">IFERROR(I91/H91,0)</f>
        <v>0.390555555555556</v>
      </c>
    </row>
    <row r="92" customFormat="false" ht="18" hidden="false" customHeight="true" outlineLevel="0" collapsed="false">
      <c r="A92" s="56" t="s">
        <v>62</v>
      </c>
      <c r="B92" s="57" t="n">
        <v>48</v>
      </c>
      <c r="C92" s="57" t="n">
        <v>43</v>
      </c>
      <c r="D92" s="58" t="n">
        <f aca="false">IFERROR(C92/B92,0)</f>
        <v>0.895833333333333</v>
      </c>
      <c r="E92" s="57" t="n">
        <v>8</v>
      </c>
      <c r="F92" s="57" t="n">
        <v>7</v>
      </c>
      <c r="G92" s="58" t="n">
        <f aca="false">IFERROR(F92/E92,0)</f>
        <v>0.875</v>
      </c>
      <c r="H92" s="59" t="n">
        <v>16</v>
      </c>
      <c r="I92" s="59" t="n">
        <v>8.66</v>
      </c>
      <c r="J92" s="58" t="n">
        <f aca="false">IFERROR(I92/H92,0)</f>
        <v>0.54125</v>
      </c>
    </row>
    <row r="93" customFormat="false" ht="18" hidden="false" customHeight="true" outlineLevel="0" collapsed="false">
      <c r="A93" s="60" t="s">
        <v>63</v>
      </c>
      <c r="B93" s="61" t="n">
        <v>55</v>
      </c>
      <c r="C93" s="61" t="n">
        <v>56</v>
      </c>
      <c r="D93" s="62" t="n">
        <f aca="false">IFERROR(C93/B93,0)</f>
        <v>1.01818181818182</v>
      </c>
      <c r="E93" s="61" t="n">
        <v>9</v>
      </c>
      <c r="F93" s="61" t="n">
        <v>9</v>
      </c>
      <c r="G93" s="62" t="n">
        <f aca="false">IFERROR(F93/E93,0)</f>
        <v>1</v>
      </c>
      <c r="H93" s="63" t="n">
        <v>18</v>
      </c>
      <c r="I93" s="63" t="n">
        <v>14.98</v>
      </c>
      <c r="J93" s="62" t="n">
        <f aca="false">IFERROR(I93/H93,0)</f>
        <v>0.832222222222222</v>
      </c>
    </row>
    <row r="94" customFormat="false" ht="18" hidden="false" customHeight="true" outlineLevel="0" collapsed="false">
      <c r="A94" s="56" t="s">
        <v>64</v>
      </c>
      <c r="B94" s="57" t="n">
        <v>48</v>
      </c>
      <c r="C94" s="57" t="n">
        <v>44</v>
      </c>
      <c r="D94" s="58" t="n">
        <f aca="false">IFERROR(C94/B94,0)</f>
        <v>0.916666666666667</v>
      </c>
      <c r="E94" s="57" t="n">
        <v>8</v>
      </c>
      <c r="F94" s="57" t="n">
        <v>7</v>
      </c>
      <c r="G94" s="58" t="n">
        <f aca="false">IFERROR(F94/E94,0)</f>
        <v>0.875</v>
      </c>
      <c r="H94" s="59" t="n">
        <v>16</v>
      </c>
      <c r="I94" s="59" t="n">
        <v>13.61</v>
      </c>
      <c r="J94" s="58" t="n">
        <f aca="false">IFERROR(I94/H94,0)</f>
        <v>0.850625</v>
      </c>
    </row>
    <row r="95" customFormat="false" ht="18" hidden="false" customHeight="true" outlineLevel="0" collapsed="false">
      <c r="A95" s="60" t="s">
        <v>65</v>
      </c>
      <c r="B95" s="61" t="n">
        <v>20</v>
      </c>
      <c r="C95" s="61" t="n">
        <v>12</v>
      </c>
      <c r="D95" s="62" t="n">
        <f aca="false">IFERROR(C95/B95,0)</f>
        <v>0.6</v>
      </c>
      <c r="E95" s="61" t="n">
        <v>5</v>
      </c>
      <c r="F95" s="61" t="n">
        <v>2</v>
      </c>
      <c r="G95" s="62" t="n">
        <f aca="false">IFERROR(F95/E95,0)</f>
        <v>0.4</v>
      </c>
      <c r="H95" s="63" t="n">
        <v>10</v>
      </c>
      <c r="I95" s="63" t="n">
        <v>13.93</v>
      </c>
      <c r="J95" s="62" t="n">
        <f aca="false">IFERROR(I95/H95,0)</f>
        <v>1.393</v>
      </c>
    </row>
    <row r="96" customFormat="false" ht="19.5" hidden="false" customHeight="true" outlineLevel="0" collapsed="false">
      <c r="A96" s="64" t="s">
        <v>66</v>
      </c>
      <c r="B96" s="65" t="n">
        <f aca="false">SUM(B84:B95)</f>
        <v>547</v>
      </c>
      <c r="C96" s="65" t="n">
        <f aca="false">SUM(C84:C95)</f>
        <v>500</v>
      </c>
      <c r="D96" s="66" t="n">
        <f aca="false">IFERROR(C96/B96,0)</f>
        <v>0.914076782449726</v>
      </c>
      <c r="E96" s="65" t="n">
        <f aca="false">SUM(E84:E95)</f>
        <v>93</v>
      </c>
      <c r="F96" s="65" t="n">
        <f aca="false">SUM(F84:F95)</f>
        <v>85</v>
      </c>
      <c r="G96" s="66" t="n">
        <f aca="false">IFERROR(F96/E96,0)</f>
        <v>0.913978494623656</v>
      </c>
      <c r="H96" s="67" t="n">
        <f aca="false">SUM(H84:H95)</f>
        <v>187</v>
      </c>
      <c r="I96" s="67" t="n">
        <f aca="false">SUM(I84:I95)</f>
        <v>122.69</v>
      </c>
      <c r="J96" s="66" t="n">
        <f aca="false">IFERROR(I96/H96,0)</f>
        <v>0.656096256684492</v>
      </c>
    </row>
    <row r="97" customFormat="false" ht="18" hidden="false" customHeight="true" outlineLevel="0" collapsed="false"/>
    <row r="98" customFormat="false" ht="15.75" hidden="false" customHeight="true" outlineLevel="0" collapsed="false">
      <c r="A98" s="52" t="s">
        <v>67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customFormat="false" ht="15.75" hidden="false" customHeight="true" outlineLevel="0" collapsed="false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customFormat="false" ht="15.75" hidden="false" customHeight="true" outlineLevel="0" collapsed="false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</sheetData>
  <mergeCells count="80">
    <mergeCell ref="A1:Z1"/>
    <mergeCell ref="A2:Z2"/>
    <mergeCell ref="A3:Z3"/>
    <mergeCell ref="A4:Z4"/>
    <mergeCell ref="A5:Z5"/>
    <mergeCell ref="A6:D6"/>
    <mergeCell ref="E6:H6"/>
    <mergeCell ref="I6:L6"/>
    <mergeCell ref="M6:P6"/>
    <mergeCell ref="Q6:T6"/>
    <mergeCell ref="U6:X6"/>
    <mergeCell ref="A7:D7"/>
    <mergeCell ref="E7:H7"/>
    <mergeCell ref="I7:L7"/>
    <mergeCell ref="M7:P7"/>
    <mergeCell ref="Q7:T7"/>
    <mergeCell ref="U7:X7"/>
    <mergeCell ref="A8:D8"/>
    <mergeCell ref="E8:H8"/>
    <mergeCell ref="I8:L8"/>
    <mergeCell ref="M8:P8"/>
    <mergeCell ref="Q8:T8"/>
    <mergeCell ref="U8:X8"/>
    <mergeCell ref="A9:D9"/>
    <mergeCell ref="E9:H9"/>
    <mergeCell ref="I9:L9"/>
    <mergeCell ref="M9:P9"/>
    <mergeCell ref="Q9:T9"/>
    <mergeCell ref="U9:X9"/>
    <mergeCell ref="A10:D10"/>
    <mergeCell ref="E10:H10"/>
    <mergeCell ref="I10:L10"/>
    <mergeCell ref="M10:P10"/>
    <mergeCell ref="Q10:T10"/>
    <mergeCell ref="U10:X10"/>
    <mergeCell ref="A11:D11"/>
    <mergeCell ref="E11:H11"/>
    <mergeCell ref="I11:L11"/>
    <mergeCell ref="M11:P11"/>
    <mergeCell ref="Q11:T11"/>
    <mergeCell ref="U11:X11"/>
    <mergeCell ref="A12:Z12"/>
    <mergeCell ref="A13:D13"/>
    <mergeCell ref="E13:H13"/>
    <mergeCell ref="I13:L13"/>
    <mergeCell ref="M13:P13"/>
    <mergeCell ref="Q13:T13"/>
    <mergeCell ref="U13:X13"/>
    <mergeCell ref="A14:D14"/>
    <mergeCell ref="E14:H14"/>
    <mergeCell ref="I14:L14"/>
    <mergeCell ref="M14:P14"/>
    <mergeCell ref="Q14:T14"/>
    <mergeCell ref="U14:X14"/>
    <mergeCell ref="A15:D15"/>
    <mergeCell ref="E15:H15"/>
    <mergeCell ref="I15:L15"/>
    <mergeCell ref="M15:P15"/>
    <mergeCell ref="Q15:T15"/>
    <mergeCell ref="U15:X15"/>
    <mergeCell ref="A16:D16"/>
    <mergeCell ref="E16:H16"/>
    <mergeCell ref="I16:L16"/>
    <mergeCell ref="M16:P16"/>
    <mergeCell ref="Q16:T16"/>
    <mergeCell ref="U16:X16"/>
    <mergeCell ref="A17:Z17"/>
    <mergeCell ref="A18:M18"/>
    <mergeCell ref="N18:Z18"/>
    <mergeCell ref="A39:Z39"/>
    <mergeCell ref="A40:M40"/>
    <mergeCell ref="N40:Z40"/>
    <mergeCell ref="A58:Z58"/>
    <mergeCell ref="A59:M59"/>
    <mergeCell ref="N59:Z59"/>
    <mergeCell ref="A76:Z76"/>
    <mergeCell ref="A77:Z79"/>
    <mergeCell ref="A81:Z81"/>
    <mergeCell ref="A82:Z82"/>
    <mergeCell ref="A98:Z100"/>
  </mergeCells>
  <conditionalFormatting sqref="D84:D95">
    <cfRule type="cellIs" priority="2" operator="greaterThanOrEqual" aboveAverage="0" equalAverage="0" bottom="0" percent="0" rank="0" text="" dxfId="0">
      <formula>1</formula>
    </cfRule>
    <cfRule type="cellIs" priority="3" operator="between" aboveAverage="0" equalAverage="0" bottom="0" percent="0" rank="0" text="" dxfId="1">
      <formula>0.8</formula>
      <formula>0.999</formula>
    </cfRule>
    <cfRule type="cellIs" priority="4" operator="lessThan" aboveAverage="0" equalAverage="0" bottom="0" percent="0" rank="0" text="" dxfId="2">
      <formula>0.8</formula>
    </cfRule>
  </conditionalFormatting>
  <conditionalFormatting sqref="G84:G95">
    <cfRule type="cellIs" priority="5" operator="greaterThanOrEqual" aboveAverage="0" equalAverage="0" bottom="0" percent="0" rank="0" text="" dxfId="0">
      <formula>1</formula>
    </cfRule>
    <cfRule type="cellIs" priority="6" operator="between" aboveAverage="0" equalAverage="0" bottom="0" percent="0" rank="0" text="" dxfId="1">
      <formula>0.8</formula>
      <formula>0.999</formula>
    </cfRule>
    <cfRule type="cellIs" priority="7" operator="lessThan" aboveAverage="0" equalAverage="0" bottom="0" percent="0" rank="0" text="" dxfId="2">
      <formula>0.8</formula>
    </cfRule>
  </conditionalFormatting>
  <conditionalFormatting sqref="J84:J95">
    <cfRule type="cellIs" priority="8" operator="greaterThanOrEqual" aboveAverage="0" equalAverage="0" bottom="0" percent="0" rank="0" text="" dxfId="0">
      <formula>1</formula>
    </cfRule>
    <cfRule type="cellIs" priority="9" operator="between" aboveAverage="0" equalAverage="0" bottom="0" percent="0" rank="0" text="" dxfId="1">
      <formula>0.8</formula>
      <formula>0.999</formula>
    </cfRule>
    <cfRule type="cellIs" priority="10" operator="lessThan" aboveAverage="0" equalAverage="0" bottom="0" percent="0" rank="0" text="" dxfId="2">
      <formula>0.8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1" min="10" style="1" width="20"/>
    <col collapsed="false" customWidth="true" hidden="false" outlineLevel="0" max="12" min="12" style="1" width="13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5" min="15" style="1" width="15"/>
    <col collapsed="false" customWidth="true" hidden="false" outlineLevel="0" max="16" min="16" style="1" width="22"/>
  </cols>
  <sheetData>
    <row r="1" customFormat="false" ht="31.5" hidden="false" customHeight="true" outlineLevel="0" collapsed="false">
      <c r="A1" s="68" t="s">
        <v>68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customFormat="false" ht="18" hidden="false" customHeight="true" outlineLevel="0" collapsed="false">
      <c r="A2" s="4" t="s">
        <v>69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customFormat="false" ht="19.5" hidden="false" customHeight="true" outlineLevel="0" collapsed="false">
      <c r="A3" s="69" t="s">
        <v>70</v>
      </c>
      <c r="B3" s="69" t="s">
        <v>71</v>
      </c>
      <c r="C3" s="69" t="s">
        <v>72</v>
      </c>
      <c r="D3" s="69" t="s">
        <v>73</v>
      </c>
      <c r="E3" s="69" t="s">
        <v>74</v>
      </c>
      <c r="F3" s="69" t="s">
        <v>75</v>
      </c>
      <c r="G3" s="69" t="s">
        <v>76</v>
      </c>
      <c r="H3" s="69" t="s">
        <v>77</v>
      </c>
      <c r="I3" s="69" t="s">
        <v>78</v>
      </c>
      <c r="J3" s="69" t="s">
        <v>79</v>
      </c>
      <c r="K3" s="69" t="s">
        <v>80</v>
      </c>
      <c r="L3" s="69" t="s">
        <v>81</v>
      </c>
      <c r="M3" s="69" t="s">
        <v>82</v>
      </c>
      <c r="N3" s="69" t="s">
        <v>83</v>
      </c>
      <c r="O3" s="69" t="s">
        <v>84</v>
      </c>
      <c r="P3" s="69" t="s">
        <v>85</v>
      </c>
    </row>
    <row r="4" customFormat="false" ht="15" hidden="false" customHeight="true" outlineLevel="0" collapsed="false">
      <c r="A4" s="70" t="s">
        <v>86</v>
      </c>
      <c r="B4" s="71" t="n">
        <v>45662</v>
      </c>
      <c r="C4" s="72" t="s">
        <v>87</v>
      </c>
      <c r="D4" s="70" t="s">
        <v>88</v>
      </c>
      <c r="E4" s="70" t="s">
        <v>89</v>
      </c>
      <c r="F4" s="73" t="n">
        <v>7400000</v>
      </c>
      <c r="G4" s="72" t="s">
        <v>90</v>
      </c>
      <c r="H4" s="70" t="s">
        <v>91</v>
      </c>
      <c r="I4" s="70" t="s">
        <v>92</v>
      </c>
      <c r="J4" s="72" t="s">
        <v>93</v>
      </c>
      <c r="K4" s="70" t="s">
        <v>94</v>
      </c>
      <c r="L4" s="71" t="n">
        <v>45663</v>
      </c>
      <c r="M4" s="71" t="n">
        <v>46205</v>
      </c>
      <c r="N4" s="74" t="n">
        <v>-10</v>
      </c>
      <c r="O4" s="70" t="s">
        <v>95</v>
      </c>
      <c r="P4" s="72"/>
    </row>
    <row r="5" customFormat="false" ht="15" hidden="false" customHeight="true" outlineLevel="0" collapsed="false">
      <c r="A5" s="75" t="s">
        <v>96</v>
      </c>
      <c r="B5" s="76" t="n">
        <v>45715</v>
      </c>
      <c r="C5" s="77" t="s">
        <v>97</v>
      </c>
      <c r="D5" s="75" t="s">
        <v>98</v>
      </c>
      <c r="E5" s="75" t="s">
        <v>99</v>
      </c>
      <c r="F5" s="78" t="n">
        <v>21100000</v>
      </c>
      <c r="G5" s="77" t="s">
        <v>100</v>
      </c>
      <c r="H5" s="75" t="s">
        <v>101</v>
      </c>
      <c r="I5" s="75" t="s">
        <v>102</v>
      </c>
      <c r="J5" s="77" t="s">
        <v>103</v>
      </c>
      <c r="K5" s="75" t="s">
        <v>104</v>
      </c>
      <c r="L5" s="76" t="n">
        <v>45720</v>
      </c>
      <c r="M5" s="76" t="n">
        <v>46200</v>
      </c>
      <c r="N5" s="79" t="n">
        <v>-5</v>
      </c>
      <c r="O5" s="75" t="s">
        <v>95</v>
      </c>
      <c r="P5" s="77"/>
    </row>
    <row r="6" customFormat="false" ht="15" hidden="false" customHeight="true" outlineLevel="0" collapsed="false">
      <c r="A6" s="70" t="s">
        <v>105</v>
      </c>
      <c r="B6" s="71" t="n">
        <v>45555</v>
      </c>
      <c r="C6" s="72" t="s">
        <v>106</v>
      </c>
      <c r="D6" s="70" t="s">
        <v>107</v>
      </c>
      <c r="E6" s="70" t="s">
        <v>108</v>
      </c>
      <c r="F6" s="73" t="n">
        <v>29100000</v>
      </c>
      <c r="G6" s="72" t="s">
        <v>109</v>
      </c>
      <c r="H6" s="70" t="s">
        <v>110</v>
      </c>
      <c r="I6" s="70" t="s">
        <v>111</v>
      </c>
      <c r="J6" s="72" t="s">
        <v>112</v>
      </c>
      <c r="K6" s="70" t="s">
        <v>104</v>
      </c>
      <c r="L6" s="71" t="n">
        <v>45556</v>
      </c>
      <c r="M6" s="71" t="n">
        <v>46189</v>
      </c>
      <c r="N6" s="74" t="n">
        <v>6</v>
      </c>
      <c r="O6" s="70" t="s">
        <v>113</v>
      </c>
      <c r="P6" s="72"/>
    </row>
    <row r="7" customFormat="false" ht="15" hidden="false" customHeight="true" outlineLevel="0" collapsed="false">
      <c r="A7" s="75" t="s">
        <v>114</v>
      </c>
      <c r="B7" s="76" t="n">
        <v>45576</v>
      </c>
      <c r="C7" s="77" t="s">
        <v>115</v>
      </c>
      <c r="D7" s="75" t="s">
        <v>116</v>
      </c>
      <c r="E7" s="75" t="s">
        <v>117</v>
      </c>
      <c r="F7" s="78" t="n">
        <v>6000000</v>
      </c>
      <c r="G7" s="77" t="s">
        <v>90</v>
      </c>
      <c r="H7" s="75" t="s">
        <v>118</v>
      </c>
      <c r="I7" s="75" t="s">
        <v>119</v>
      </c>
      <c r="J7" s="77" t="s">
        <v>103</v>
      </c>
      <c r="K7" s="75" t="s">
        <v>120</v>
      </c>
      <c r="L7" s="76" t="n">
        <v>45577</v>
      </c>
      <c r="M7" s="76" t="n">
        <v>46201</v>
      </c>
      <c r="N7" s="79" t="n">
        <v>-6</v>
      </c>
      <c r="O7" s="75" t="s">
        <v>95</v>
      </c>
      <c r="P7" s="77"/>
    </row>
    <row r="8" customFormat="false" ht="15" hidden="false" customHeight="true" outlineLevel="0" collapsed="false">
      <c r="A8" s="70" t="s">
        <v>121</v>
      </c>
      <c r="B8" s="71" t="n">
        <v>45423</v>
      </c>
      <c r="C8" s="72" t="s">
        <v>122</v>
      </c>
      <c r="D8" s="70" t="s">
        <v>123</v>
      </c>
      <c r="E8" s="70" t="s">
        <v>117</v>
      </c>
      <c r="F8" s="73" t="n">
        <v>23200000</v>
      </c>
      <c r="G8" s="72" t="s">
        <v>100</v>
      </c>
      <c r="H8" s="70" t="s">
        <v>110</v>
      </c>
      <c r="I8" s="70" t="s">
        <v>102</v>
      </c>
      <c r="J8" s="72" t="s">
        <v>124</v>
      </c>
      <c r="K8" s="70" t="s">
        <v>125</v>
      </c>
      <c r="L8" s="71" t="n">
        <v>45425</v>
      </c>
      <c r="M8" s="71" t="n">
        <v>45426</v>
      </c>
      <c r="N8" s="74" t="n">
        <v>769</v>
      </c>
      <c r="O8" s="70" t="s">
        <v>113</v>
      </c>
      <c r="P8" s="72"/>
    </row>
    <row r="9" customFormat="false" ht="15" hidden="false" customHeight="true" outlineLevel="0" collapsed="false">
      <c r="A9" s="75" t="s">
        <v>126</v>
      </c>
      <c r="B9" s="76" t="n">
        <v>45714</v>
      </c>
      <c r="C9" s="77" t="s">
        <v>127</v>
      </c>
      <c r="D9" s="75" t="s">
        <v>128</v>
      </c>
      <c r="E9" s="75" t="s">
        <v>129</v>
      </c>
      <c r="F9" s="78" t="n">
        <v>11300000</v>
      </c>
      <c r="G9" s="77" t="s">
        <v>130</v>
      </c>
      <c r="H9" s="75" t="s">
        <v>131</v>
      </c>
      <c r="I9" s="75" t="s">
        <v>85</v>
      </c>
      <c r="J9" s="77" t="s">
        <v>112</v>
      </c>
      <c r="K9" s="75" t="s">
        <v>94</v>
      </c>
      <c r="L9" s="76" t="n">
        <v>45715</v>
      </c>
      <c r="M9" s="76" t="n">
        <v>46206</v>
      </c>
      <c r="N9" s="79" t="n">
        <v>-11</v>
      </c>
      <c r="O9" s="75" t="s">
        <v>95</v>
      </c>
      <c r="P9" s="77" t="s">
        <v>132</v>
      </c>
    </row>
    <row r="10" customFormat="false" ht="15" hidden="false" customHeight="true" outlineLevel="0" collapsed="false">
      <c r="A10" s="70" t="s">
        <v>133</v>
      </c>
      <c r="B10" s="71" t="n">
        <v>45411</v>
      </c>
      <c r="C10" s="72" t="s">
        <v>134</v>
      </c>
      <c r="D10" s="70" t="s">
        <v>135</v>
      </c>
      <c r="E10" s="70" t="s">
        <v>136</v>
      </c>
      <c r="F10" s="73" t="n">
        <v>33500000</v>
      </c>
      <c r="G10" s="72" t="s">
        <v>90</v>
      </c>
      <c r="H10" s="70" t="s">
        <v>110</v>
      </c>
      <c r="I10" s="70" t="s">
        <v>137</v>
      </c>
      <c r="J10" s="72" t="s">
        <v>124</v>
      </c>
      <c r="K10" s="70" t="s">
        <v>94</v>
      </c>
      <c r="L10" s="71" t="n">
        <v>45413</v>
      </c>
      <c r="M10" s="71" t="n">
        <v>46188</v>
      </c>
      <c r="N10" s="74" t="n">
        <v>7</v>
      </c>
      <c r="O10" s="70" t="s">
        <v>113</v>
      </c>
      <c r="P10" s="72"/>
    </row>
    <row r="11" customFormat="false" ht="15" hidden="false" customHeight="true" outlineLevel="0" collapsed="false">
      <c r="A11" s="75" t="s">
        <v>138</v>
      </c>
      <c r="B11" s="76" t="n">
        <v>45712</v>
      </c>
      <c r="C11" s="77" t="s">
        <v>139</v>
      </c>
      <c r="D11" s="75" t="s">
        <v>140</v>
      </c>
      <c r="E11" s="75" t="s">
        <v>141</v>
      </c>
      <c r="F11" s="78" t="n">
        <v>18600000</v>
      </c>
      <c r="G11" s="77" t="s">
        <v>100</v>
      </c>
      <c r="H11" s="75" t="s">
        <v>101</v>
      </c>
      <c r="I11" s="75" t="s">
        <v>92</v>
      </c>
      <c r="J11" s="77" t="s">
        <v>142</v>
      </c>
      <c r="K11" s="75" t="s">
        <v>143</v>
      </c>
      <c r="L11" s="76" t="n">
        <v>45716</v>
      </c>
      <c r="M11" s="76" t="n">
        <v>46191</v>
      </c>
      <c r="N11" s="79" t="n">
        <v>4</v>
      </c>
      <c r="O11" s="75" t="s">
        <v>113</v>
      </c>
      <c r="P11" s="77"/>
    </row>
    <row r="12" customFormat="false" ht="15" hidden="false" customHeight="true" outlineLevel="0" collapsed="false">
      <c r="A12" s="70" t="s">
        <v>144</v>
      </c>
      <c r="B12" s="71" t="n">
        <v>45495</v>
      </c>
      <c r="C12" s="72" t="s">
        <v>145</v>
      </c>
      <c r="D12" s="70" t="s">
        <v>146</v>
      </c>
      <c r="E12" s="70" t="s">
        <v>147</v>
      </c>
      <c r="F12" s="73" t="n">
        <v>31800000</v>
      </c>
      <c r="G12" s="72" t="s">
        <v>90</v>
      </c>
      <c r="H12" s="70" t="s">
        <v>110</v>
      </c>
      <c r="I12" s="70" t="s">
        <v>119</v>
      </c>
      <c r="J12" s="72" t="s">
        <v>148</v>
      </c>
      <c r="K12" s="70" t="s">
        <v>143</v>
      </c>
      <c r="L12" s="71" t="n">
        <v>45497</v>
      </c>
      <c r="M12" s="71" t="n">
        <v>46203</v>
      </c>
      <c r="N12" s="74" t="n">
        <v>-8</v>
      </c>
      <c r="O12" s="70" t="s">
        <v>95</v>
      </c>
      <c r="P12" s="72"/>
    </row>
    <row r="13" customFormat="false" ht="15" hidden="false" customHeight="true" outlineLevel="0" collapsed="false">
      <c r="A13" s="75" t="s">
        <v>149</v>
      </c>
      <c r="B13" s="76" t="n">
        <v>45688</v>
      </c>
      <c r="C13" s="77" t="s">
        <v>150</v>
      </c>
      <c r="D13" s="75" t="s">
        <v>151</v>
      </c>
      <c r="E13" s="75" t="s">
        <v>129</v>
      </c>
      <c r="F13" s="78" t="n">
        <v>29100000</v>
      </c>
      <c r="G13" s="77" t="s">
        <v>109</v>
      </c>
      <c r="H13" s="75" t="s">
        <v>110</v>
      </c>
      <c r="I13" s="75" t="s">
        <v>137</v>
      </c>
      <c r="J13" s="77" t="s">
        <v>93</v>
      </c>
      <c r="K13" s="75" t="s">
        <v>143</v>
      </c>
      <c r="L13" s="76" t="n">
        <v>45692</v>
      </c>
      <c r="M13" s="76" t="n">
        <v>46203</v>
      </c>
      <c r="N13" s="79" t="n">
        <v>-8</v>
      </c>
      <c r="O13" s="75" t="s">
        <v>95</v>
      </c>
      <c r="P13" s="77"/>
    </row>
    <row r="14" customFormat="false" ht="15" hidden="false" customHeight="true" outlineLevel="0" collapsed="false">
      <c r="A14" s="70" t="s">
        <v>152</v>
      </c>
      <c r="B14" s="71" t="n">
        <v>45615</v>
      </c>
      <c r="C14" s="72" t="s">
        <v>153</v>
      </c>
      <c r="D14" s="70" t="s">
        <v>154</v>
      </c>
      <c r="E14" s="70" t="s">
        <v>155</v>
      </c>
      <c r="F14" s="73" t="n">
        <v>27700000</v>
      </c>
      <c r="G14" s="72" t="s">
        <v>90</v>
      </c>
      <c r="H14" s="70" t="s">
        <v>110</v>
      </c>
      <c r="I14" s="70" t="s">
        <v>102</v>
      </c>
      <c r="J14" s="72" t="s">
        <v>112</v>
      </c>
      <c r="K14" s="70" t="s">
        <v>143</v>
      </c>
      <c r="L14" s="71" t="n">
        <v>45616</v>
      </c>
      <c r="M14" s="71" t="n">
        <v>46210</v>
      </c>
      <c r="N14" s="74" t="n">
        <v>-15</v>
      </c>
      <c r="O14" s="70" t="s">
        <v>95</v>
      </c>
      <c r="P14" s="72"/>
    </row>
    <row r="15" customFormat="false" ht="15" hidden="false" customHeight="true" outlineLevel="0" collapsed="false">
      <c r="A15" s="75" t="s">
        <v>156</v>
      </c>
      <c r="B15" s="76" t="n">
        <v>45461</v>
      </c>
      <c r="C15" s="77" t="s">
        <v>157</v>
      </c>
      <c r="D15" s="75" t="s">
        <v>158</v>
      </c>
      <c r="E15" s="75" t="s">
        <v>147</v>
      </c>
      <c r="F15" s="78" t="n">
        <v>27000000</v>
      </c>
      <c r="G15" s="77" t="s">
        <v>159</v>
      </c>
      <c r="H15" s="75" t="s">
        <v>110</v>
      </c>
      <c r="I15" s="75" t="s">
        <v>160</v>
      </c>
      <c r="J15" s="77" t="s">
        <v>103</v>
      </c>
      <c r="K15" s="75" t="s">
        <v>161</v>
      </c>
      <c r="L15" s="76" t="n">
        <v>45464</v>
      </c>
      <c r="M15" s="76" t="n">
        <v>46192</v>
      </c>
      <c r="N15" s="79" t="n">
        <v>3</v>
      </c>
      <c r="O15" s="75" t="s">
        <v>113</v>
      </c>
      <c r="P15" s="77"/>
    </row>
    <row r="16" customFormat="false" ht="15" hidden="false" customHeight="true" outlineLevel="0" collapsed="false">
      <c r="A16" s="70" t="s">
        <v>162</v>
      </c>
      <c r="B16" s="71" t="n">
        <v>45506</v>
      </c>
      <c r="C16" s="72" t="s">
        <v>163</v>
      </c>
      <c r="D16" s="70" t="s">
        <v>164</v>
      </c>
      <c r="E16" s="70" t="s">
        <v>165</v>
      </c>
      <c r="F16" s="73" t="n">
        <v>4700000</v>
      </c>
      <c r="G16" s="72" t="s">
        <v>166</v>
      </c>
      <c r="H16" s="70" t="s">
        <v>118</v>
      </c>
      <c r="I16" s="70" t="s">
        <v>111</v>
      </c>
      <c r="J16" s="72" t="s">
        <v>112</v>
      </c>
      <c r="K16" s="70" t="s">
        <v>104</v>
      </c>
      <c r="L16" s="71" t="n">
        <v>45511</v>
      </c>
      <c r="M16" s="71" t="n">
        <v>46189</v>
      </c>
      <c r="N16" s="74" t="n">
        <v>6</v>
      </c>
      <c r="O16" s="70" t="s">
        <v>113</v>
      </c>
      <c r="P16" s="72"/>
    </row>
    <row r="17" customFormat="false" ht="15" hidden="false" customHeight="true" outlineLevel="0" collapsed="false">
      <c r="A17" s="75" t="s">
        <v>167</v>
      </c>
      <c r="B17" s="76" t="n">
        <v>45693</v>
      </c>
      <c r="C17" s="77" t="s">
        <v>168</v>
      </c>
      <c r="D17" s="75" t="s">
        <v>169</v>
      </c>
      <c r="E17" s="75" t="s">
        <v>129</v>
      </c>
      <c r="F17" s="78" t="n">
        <v>30000000</v>
      </c>
      <c r="G17" s="77" t="s">
        <v>109</v>
      </c>
      <c r="H17" s="75" t="s">
        <v>110</v>
      </c>
      <c r="I17" s="75" t="s">
        <v>137</v>
      </c>
      <c r="J17" s="77" t="s">
        <v>170</v>
      </c>
      <c r="K17" s="75" t="s">
        <v>104</v>
      </c>
      <c r="L17" s="76" t="n">
        <v>45697</v>
      </c>
      <c r="M17" s="76" t="n">
        <v>46193</v>
      </c>
      <c r="N17" s="79" t="n">
        <v>2</v>
      </c>
      <c r="O17" s="75" t="s">
        <v>113</v>
      </c>
      <c r="P17" s="77"/>
    </row>
    <row r="18" customFormat="false" ht="15" hidden="false" customHeight="true" outlineLevel="0" collapsed="false">
      <c r="A18" s="70" t="s">
        <v>171</v>
      </c>
      <c r="B18" s="71" t="n">
        <v>45498</v>
      </c>
      <c r="C18" s="72" t="s">
        <v>172</v>
      </c>
      <c r="D18" s="70" t="s">
        <v>173</v>
      </c>
      <c r="E18" s="70" t="s">
        <v>155</v>
      </c>
      <c r="F18" s="73" t="n">
        <v>15800000</v>
      </c>
      <c r="G18" s="72" t="s">
        <v>130</v>
      </c>
      <c r="H18" s="70" t="s">
        <v>174</v>
      </c>
      <c r="I18" s="70" t="s">
        <v>137</v>
      </c>
      <c r="J18" s="72" t="s">
        <v>142</v>
      </c>
      <c r="K18" s="70" t="s">
        <v>120</v>
      </c>
      <c r="L18" s="71" t="n">
        <v>45499</v>
      </c>
      <c r="M18" s="71" t="n">
        <v>46204</v>
      </c>
      <c r="N18" s="74" t="n">
        <v>-9</v>
      </c>
      <c r="O18" s="70" t="s">
        <v>95</v>
      </c>
      <c r="P18" s="72"/>
    </row>
    <row r="19" customFormat="false" ht="15" hidden="false" customHeight="true" outlineLevel="0" collapsed="false">
      <c r="A19" s="75" t="s">
        <v>175</v>
      </c>
      <c r="B19" s="76" t="n">
        <v>45399</v>
      </c>
      <c r="C19" s="77" t="s">
        <v>176</v>
      </c>
      <c r="D19" s="75" t="s">
        <v>177</v>
      </c>
      <c r="E19" s="75" t="s">
        <v>117</v>
      </c>
      <c r="F19" s="78" t="n">
        <v>4600000</v>
      </c>
      <c r="G19" s="77" t="s">
        <v>100</v>
      </c>
      <c r="H19" s="75" t="s">
        <v>118</v>
      </c>
      <c r="I19" s="75" t="s">
        <v>85</v>
      </c>
      <c r="J19" s="77" t="s">
        <v>178</v>
      </c>
      <c r="K19" s="75" t="s">
        <v>104</v>
      </c>
      <c r="L19" s="76" t="n">
        <v>45402</v>
      </c>
      <c r="M19" s="76" t="n">
        <v>46189</v>
      </c>
      <c r="N19" s="79" t="n">
        <v>6</v>
      </c>
      <c r="O19" s="75" t="s">
        <v>113</v>
      </c>
      <c r="P19" s="77" t="s">
        <v>179</v>
      </c>
    </row>
    <row r="20" customFormat="false" ht="15" hidden="false" customHeight="true" outlineLevel="0" collapsed="false">
      <c r="A20" s="70" t="s">
        <v>180</v>
      </c>
      <c r="B20" s="71" t="n">
        <v>45625</v>
      </c>
      <c r="C20" s="72" t="s">
        <v>181</v>
      </c>
      <c r="D20" s="70" t="s">
        <v>182</v>
      </c>
      <c r="E20" s="70" t="s">
        <v>147</v>
      </c>
      <c r="F20" s="73" t="n">
        <v>31600000</v>
      </c>
      <c r="G20" s="72" t="s">
        <v>109</v>
      </c>
      <c r="H20" s="70" t="s">
        <v>110</v>
      </c>
      <c r="I20" s="70" t="s">
        <v>137</v>
      </c>
      <c r="J20" s="72" t="s">
        <v>142</v>
      </c>
      <c r="K20" s="70" t="s">
        <v>104</v>
      </c>
      <c r="L20" s="71" t="n">
        <v>45629</v>
      </c>
      <c r="M20" s="71" t="n">
        <v>46193</v>
      </c>
      <c r="N20" s="74" t="n">
        <v>2</v>
      </c>
      <c r="O20" s="70" t="s">
        <v>113</v>
      </c>
      <c r="P20" s="72"/>
    </row>
    <row r="21" customFormat="false" ht="15" hidden="false" customHeight="true" outlineLevel="0" collapsed="false">
      <c r="A21" s="75" t="s">
        <v>183</v>
      </c>
      <c r="B21" s="76" t="n">
        <v>45713</v>
      </c>
      <c r="C21" s="77" t="s">
        <v>184</v>
      </c>
      <c r="D21" s="75" t="s">
        <v>185</v>
      </c>
      <c r="E21" s="75" t="s">
        <v>136</v>
      </c>
      <c r="F21" s="78" t="n">
        <v>15600000</v>
      </c>
      <c r="G21" s="77" t="s">
        <v>186</v>
      </c>
      <c r="H21" s="75" t="s">
        <v>174</v>
      </c>
      <c r="I21" s="75" t="s">
        <v>85</v>
      </c>
      <c r="J21" s="77" t="s">
        <v>178</v>
      </c>
      <c r="K21" s="75" t="s">
        <v>94</v>
      </c>
      <c r="L21" s="76" t="n">
        <v>45714</v>
      </c>
      <c r="M21" s="76" t="n">
        <v>46188</v>
      </c>
      <c r="N21" s="79" t="n">
        <v>7</v>
      </c>
      <c r="O21" s="75" t="s">
        <v>113</v>
      </c>
      <c r="P21" s="77" t="s">
        <v>187</v>
      </c>
    </row>
    <row r="22" customFormat="false" ht="15" hidden="false" customHeight="true" outlineLevel="0" collapsed="false">
      <c r="A22" s="70" t="s">
        <v>188</v>
      </c>
      <c r="B22" s="71" t="n">
        <v>45619</v>
      </c>
      <c r="C22" s="72" t="s">
        <v>189</v>
      </c>
      <c r="D22" s="70" t="s">
        <v>190</v>
      </c>
      <c r="E22" s="70" t="s">
        <v>99</v>
      </c>
      <c r="F22" s="73" t="n">
        <v>19800000</v>
      </c>
      <c r="G22" s="72" t="s">
        <v>100</v>
      </c>
      <c r="H22" s="70" t="s">
        <v>101</v>
      </c>
      <c r="I22" s="70" t="s">
        <v>92</v>
      </c>
      <c r="J22" s="72" t="s">
        <v>191</v>
      </c>
      <c r="K22" s="70" t="s">
        <v>104</v>
      </c>
      <c r="L22" s="71" t="n">
        <v>45621</v>
      </c>
      <c r="M22" s="71" t="n">
        <v>46189</v>
      </c>
      <c r="N22" s="74" t="n">
        <v>6</v>
      </c>
      <c r="O22" s="70" t="s">
        <v>113</v>
      </c>
      <c r="P22" s="72"/>
    </row>
    <row r="23" customFormat="false" ht="15" hidden="false" customHeight="true" outlineLevel="0" collapsed="false">
      <c r="A23" s="75" t="s">
        <v>192</v>
      </c>
      <c r="B23" s="76" t="n">
        <v>45631</v>
      </c>
      <c r="C23" s="77" t="s">
        <v>193</v>
      </c>
      <c r="D23" s="75" t="s">
        <v>194</v>
      </c>
      <c r="E23" s="75" t="s">
        <v>155</v>
      </c>
      <c r="F23" s="78" t="n">
        <v>6400000</v>
      </c>
      <c r="G23" s="77" t="s">
        <v>195</v>
      </c>
      <c r="H23" s="75" t="s">
        <v>118</v>
      </c>
      <c r="I23" s="75" t="s">
        <v>160</v>
      </c>
      <c r="J23" s="77" t="s">
        <v>124</v>
      </c>
      <c r="K23" s="75" t="s">
        <v>104</v>
      </c>
      <c r="L23" s="76" t="n">
        <v>45635</v>
      </c>
      <c r="M23" s="76" t="n">
        <v>46193</v>
      </c>
      <c r="N23" s="79" t="n">
        <v>2</v>
      </c>
      <c r="O23" s="75" t="s">
        <v>113</v>
      </c>
      <c r="P23" s="77"/>
    </row>
    <row r="24" customFormat="false" ht="15" hidden="false" customHeight="true" outlineLevel="0" collapsed="false">
      <c r="A24" s="70" t="s">
        <v>196</v>
      </c>
      <c r="B24" s="71" t="n">
        <v>45667</v>
      </c>
      <c r="C24" s="72" t="s">
        <v>197</v>
      </c>
      <c r="D24" s="70" t="s">
        <v>198</v>
      </c>
      <c r="E24" s="70" t="s">
        <v>136</v>
      </c>
      <c r="F24" s="73" t="n">
        <v>13100000</v>
      </c>
      <c r="G24" s="72" t="s">
        <v>195</v>
      </c>
      <c r="H24" s="70" t="s">
        <v>174</v>
      </c>
      <c r="I24" s="70" t="s">
        <v>160</v>
      </c>
      <c r="J24" s="72" t="s">
        <v>142</v>
      </c>
      <c r="K24" s="70" t="s">
        <v>104</v>
      </c>
      <c r="L24" s="71" t="n">
        <v>45671</v>
      </c>
      <c r="M24" s="71" t="n">
        <v>46191</v>
      </c>
      <c r="N24" s="74" t="n">
        <v>4</v>
      </c>
      <c r="O24" s="70" t="s">
        <v>113</v>
      </c>
      <c r="P24" s="72"/>
    </row>
    <row r="25" customFormat="false" ht="15" hidden="false" customHeight="true" outlineLevel="0" collapsed="false">
      <c r="A25" s="75" t="s">
        <v>199</v>
      </c>
      <c r="B25" s="76" t="n">
        <v>45640</v>
      </c>
      <c r="C25" s="77" t="s">
        <v>200</v>
      </c>
      <c r="D25" s="75" t="s">
        <v>201</v>
      </c>
      <c r="E25" s="75" t="s">
        <v>117</v>
      </c>
      <c r="F25" s="78" t="n">
        <v>27300000</v>
      </c>
      <c r="G25" s="77" t="s">
        <v>195</v>
      </c>
      <c r="H25" s="75" t="s">
        <v>110</v>
      </c>
      <c r="I25" s="75" t="s">
        <v>102</v>
      </c>
      <c r="J25" s="77" t="s">
        <v>178</v>
      </c>
      <c r="K25" s="75" t="s">
        <v>161</v>
      </c>
      <c r="L25" s="76" t="n">
        <v>45645</v>
      </c>
      <c r="M25" s="76" t="n">
        <v>46192</v>
      </c>
      <c r="N25" s="79" t="n">
        <v>3</v>
      </c>
      <c r="O25" s="75" t="s">
        <v>113</v>
      </c>
      <c r="P25" s="77"/>
    </row>
    <row r="26" customFormat="false" ht="15" hidden="false" customHeight="true" outlineLevel="0" collapsed="false">
      <c r="A26" s="70" t="s">
        <v>202</v>
      </c>
      <c r="B26" s="71" t="n">
        <v>45674</v>
      </c>
      <c r="C26" s="72" t="s">
        <v>203</v>
      </c>
      <c r="D26" s="70" t="s">
        <v>204</v>
      </c>
      <c r="E26" s="70" t="s">
        <v>141</v>
      </c>
      <c r="F26" s="73" t="n">
        <v>25900000</v>
      </c>
      <c r="G26" s="72" t="s">
        <v>159</v>
      </c>
      <c r="H26" s="70" t="s">
        <v>110</v>
      </c>
      <c r="I26" s="70" t="s">
        <v>119</v>
      </c>
      <c r="J26" s="72" t="s">
        <v>93</v>
      </c>
      <c r="K26" s="70" t="s">
        <v>205</v>
      </c>
      <c r="L26" s="71" t="n">
        <v>45676</v>
      </c>
      <c r="M26" s="71" t="n">
        <v>45681</v>
      </c>
      <c r="N26" s="74" t="n">
        <v>514</v>
      </c>
      <c r="O26" s="70" t="s">
        <v>113</v>
      </c>
      <c r="P26" s="72"/>
    </row>
    <row r="27" customFormat="false" ht="15" hidden="false" customHeight="true" outlineLevel="0" collapsed="false">
      <c r="A27" s="75" t="s">
        <v>206</v>
      </c>
      <c r="B27" s="76" t="n">
        <v>45585</v>
      </c>
      <c r="C27" s="77" t="s">
        <v>207</v>
      </c>
      <c r="D27" s="75" t="s">
        <v>208</v>
      </c>
      <c r="E27" s="75" t="s">
        <v>136</v>
      </c>
      <c r="F27" s="78" t="n">
        <v>11200000</v>
      </c>
      <c r="G27" s="77" t="s">
        <v>130</v>
      </c>
      <c r="H27" s="75" t="s">
        <v>131</v>
      </c>
      <c r="I27" s="75" t="s">
        <v>85</v>
      </c>
      <c r="J27" s="77" t="s">
        <v>209</v>
      </c>
      <c r="K27" s="75" t="s">
        <v>104</v>
      </c>
      <c r="L27" s="76" t="n">
        <v>45587</v>
      </c>
      <c r="M27" s="76" t="n">
        <v>46208</v>
      </c>
      <c r="N27" s="79" t="n">
        <v>-13</v>
      </c>
      <c r="O27" s="75" t="s">
        <v>95</v>
      </c>
      <c r="P27" s="77" t="s">
        <v>210</v>
      </c>
    </row>
    <row r="28" customFormat="false" ht="15" hidden="false" customHeight="true" outlineLevel="0" collapsed="false">
      <c r="A28" s="70" t="s">
        <v>211</v>
      </c>
      <c r="B28" s="71" t="n">
        <v>45561</v>
      </c>
      <c r="C28" s="72" t="s">
        <v>212</v>
      </c>
      <c r="D28" s="70" t="s">
        <v>213</v>
      </c>
      <c r="E28" s="70" t="s">
        <v>214</v>
      </c>
      <c r="F28" s="73" t="n">
        <v>5600000</v>
      </c>
      <c r="G28" s="72" t="s">
        <v>159</v>
      </c>
      <c r="H28" s="70" t="s">
        <v>118</v>
      </c>
      <c r="I28" s="70" t="s">
        <v>92</v>
      </c>
      <c r="J28" s="72" t="s">
        <v>103</v>
      </c>
      <c r="K28" s="70" t="s">
        <v>104</v>
      </c>
      <c r="L28" s="71" t="n">
        <v>45562</v>
      </c>
      <c r="M28" s="71" t="n">
        <v>46194</v>
      </c>
      <c r="N28" s="74" t="n">
        <v>1</v>
      </c>
      <c r="O28" s="70" t="s">
        <v>113</v>
      </c>
      <c r="P28" s="72"/>
    </row>
    <row r="29" customFormat="false" ht="15" hidden="false" customHeight="true" outlineLevel="0" collapsed="false">
      <c r="A29" s="75" t="s">
        <v>215</v>
      </c>
      <c r="B29" s="76" t="n">
        <v>45666</v>
      </c>
      <c r="C29" s="77" t="s">
        <v>216</v>
      </c>
      <c r="D29" s="75" t="s">
        <v>217</v>
      </c>
      <c r="E29" s="75" t="s">
        <v>147</v>
      </c>
      <c r="F29" s="78" t="n">
        <v>21500000</v>
      </c>
      <c r="G29" s="77" t="s">
        <v>90</v>
      </c>
      <c r="H29" s="75" t="s">
        <v>101</v>
      </c>
      <c r="I29" s="75" t="s">
        <v>137</v>
      </c>
      <c r="J29" s="77" t="s">
        <v>178</v>
      </c>
      <c r="K29" s="75" t="s">
        <v>94</v>
      </c>
      <c r="L29" s="76" t="n">
        <v>45669</v>
      </c>
      <c r="M29" s="76" t="n">
        <v>46208</v>
      </c>
      <c r="N29" s="79" t="n">
        <v>-13</v>
      </c>
      <c r="O29" s="75" t="s">
        <v>95</v>
      </c>
      <c r="P29" s="77"/>
    </row>
    <row r="30" customFormat="false" ht="15" hidden="false" customHeight="true" outlineLevel="0" collapsed="false">
      <c r="A30" s="70" t="s">
        <v>218</v>
      </c>
      <c r="B30" s="71" t="n">
        <v>45487</v>
      </c>
      <c r="C30" s="72" t="s">
        <v>219</v>
      </c>
      <c r="D30" s="70" t="s">
        <v>220</v>
      </c>
      <c r="E30" s="70" t="s">
        <v>141</v>
      </c>
      <c r="F30" s="73" t="n">
        <v>11900000</v>
      </c>
      <c r="G30" s="72" t="s">
        <v>109</v>
      </c>
      <c r="H30" s="70" t="s">
        <v>131</v>
      </c>
      <c r="I30" s="70" t="s">
        <v>137</v>
      </c>
      <c r="J30" s="72" t="s">
        <v>124</v>
      </c>
      <c r="K30" s="70" t="s">
        <v>94</v>
      </c>
      <c r="L30" s="71" t="n">
        <v>45490</v>
      </c>
      <c r="M30" s="71" t="n">
        <v>46203</v>
      </c>
      <c r="N30" s="74" t="n">
        <v>-8</v>
      </c>
      <c r="O30" s="70" t="s">
        <v>95</v>
      </c>
      <c r="P30" s="72"/>
    </row>
    <row r="31" customFormat="false" ht="15" hidden="false" customHeight="true" outlineLevel="0" collapsed="false">
      <c r="A31" s="75" t="s">
        <v>221</v>
      </c>
      <c r="B31" s="76" t="n">
        <v>45709</v>
      </c>
      <c r="C31" s="77" t="s">
        <v>222</v>
      </c>
      <c r="D31" s="75" t="s">
        <v>223</v>
      </c>
      <c r="E31" s="75" t="s">
        <v>155</v>
      </c>
      <c r="F31" s="78" t="n">
        <v>9900000</v>
      </c>
      <c r="G31" s="77" t="s">
        <v>186</v>
      </c>
      <c r="H31" s="75" t="s">
        <v>131</v>
      </c>
      <c r="I31" s="75" t="s">
        <v>102</v>
      </c>
      <c r="J31" s="77" t="s">
        <v>209</v>
      </c>
      <c r="K31" s="75" t="s">
        <v>125</v>
      </c>
      <c r="L31" s="76" t="n">
        <v>45712</v>
      </c>
      <c r="M31" s="76" t="n">
        <v>45714</v>
      </c>
      <c r="N31" s="79" t="n">
        <v>481</v>
      </c>
      <c r="O31" s="75" t="s">
        <v>113</v>
      </c>
      <c r="P31" s="77"/>
    </row>
    <row r="32" customFormat="false" ht="15" hidden="false" customHeight="true" outlineLevel="0" collapsed="false">
      <c r="A32" s="70" t="s">
        <v>224</v>
      </c>
      <c r="B32" s="71" t="n">
        <v>45572</v>
      </c>
      <c r="C32" s="72" t="s">
        <v>225</v>
      </c>
      <c r="D32" s="70" t="s">
        <v>226</v>
      </c>
      <c r="E32" s="70" t="s">
        <v>147</v>
      </c>
      <c r="F32" s="73" t="n">
        <v>4700000</v>
      </c>
      <c r="G32" s="72" t="s">
        <v>195</v>
      </c>
      <c r="H32" s="70" t="s">
        <v>118</v>
      </c>
      <c r="I32" s="70" t="s">
        <v>85</v>
      </c>
      <c r="J32" s="72" t="s">
        <v>170</v>
      </c>
      <c r="K32" s="70" t="s">
        <v>161</v>
      </c>
      <c r="L32" s="71" t="n">
        <v>45577</v>
      </c>
      <c r="M32" s="71" t="n">
        <v>46204</v>
      </c>
      <c r="N32" s="74" t="n">
        <v>-9</v>
      </c>
      <c r="O32" s="70" t="s">
        <v>95</v>
      </c>
      <c r="P32" s="72" t="s">
        <v>132</v>
      </c>
    </row>
    <row r="33" customFormat="false" ht="15" hidden="false" customHeight="true" outlineLevel="0" collapsed="false">
      <c r="A33" s="75" t="s">
        <v>227</v>
      </c>
      <c r="B33" s="76" t="n">
        <v>45564</v>
      </c>
      <c r="C33" s="77" t="s">
        <v>228</v>
      </c>
      <c r="D33" s="75" t="s">
        <v>229</v>
      </c>
      <c r="E33" s="75" t="s">
        <v>165</v>
      </c>
      <c r="F33" s="78" t="n">
        <v>11300000</v>
      </c>
      <c r="G33" s="77" t="s">
        <v>195</v>
      </c>
      <c r="H33" s="75" t="s">
        <v>131</v>
      </c>
      <c r="I33" s="75" t="s">
        <v>85</v>
      </c>
      <c r="J33" s="77" t="s">
        <v>124</v>
      </c>
      <c r="K33" s="75" t="s">
        <v>94</v>
      </c>
      <c r="L33" s="76" t="n">
        <v>45569</v>
      </c>
      <c r="M33" s="76" t="n">
        <v>46200</v>
      </c>
      <c r="N33" s="79" t="n">
        <v>-5</v>
      </c>
      <c r="O33" s="75" t="s">
        <v>95</v>
      </c>
      <c r="P33" s="77" t="s">
        <v>132</v>
      </c>
    </row>
    <row r="34" customFormat="false" ht="15" hidden="false" customHeight="true" outlineLevel="0" collapsed="false">
      <c r="A34" s="70" t="s">
        <v>230</v>
      </c>
      <c r="B34" s="71" t="n">
        <v>45510</v>
      </c>
      <c r="C34" s="72" t="s">
        <v>231</v>
      </c>
      <c r="D34" s="70" t="s">
        <v>232</v>
      </c>
      <c r="E34" s="70" t="s">
        <v>108</v>
      </c>
      <c r="F34" s="73" t="n">
        <v>27600000</v>
      </c>
      <c r="G34" s="72" t="s">
        <v>109</v>
      </c>
      <c r="H34" s="70" t="s">
        <v>110</v>
      </c>
      <c r="I34" s="70" t="s">
        <v>160</v>
      </c>
      <c r="J34" s="72" t="s">
        <v>191</v>
      </c>
      <c r="K34" s="70" t="s">
        <v>125</v>
      </c>
      <c r="L34" s="71" t="n">
        <v>45513</v>
      </c>
      <c r="M34" s="71" t="n">
        <v>45515</v>
      </c>
      <c r="N34" s="74" t="n">
        <v>680</v>
      </c>
      <c r="O34" s="70" t="s">
        <v>113</v>
      </c>
      <c r="P34" s="72"/>
    </row>
    <row r="35" customFormat="false" ht="15" hidden="false" customHeight="true" outlineLevel="0" collapsed="false">
      <c r="A35" s="75" t="s">
        <v>233</v>
      </c>
      <c r="B35" s="76" t="n">
        <v>45499</v>
      </c>
      <c r="C35" s="77" t="s">
        <v>234</v>
      </c>
      <c r="D35" s="75" t="s">
        <v>235</v>
      </c>
      <c r="E35" s="75" t="s">
        <v>214</v>
      </c>
      <c r="F35" s="78" t="n">
        <v>8400000</v>
      </c>
      <c r="G35" s="77" t="s">
        <v>100</v>
      </c>
      <c r="H35" s="75" t="s">
        <v>91</v>
      </c>
      <c r="I35" s="75" t="s">
        <v>111</v>
      </c>
      <c r="J35" s="77" t="s">
        <v>112</v>
      </c>
      <c r="K35" s="75" t="s">
        <v>125</v>
      </c>
      <c r="L35" s="76" t="n">
        <v>45501</v>
      </c>
      <c r="M35" s="76" t="n">
        <v>45502</v>
      </c>
      <c r="N35" s="79" t="n">
        <v>693</v>
      </c>
      <c r="O35" s="75" t="s">
        <v>113</v>
      </c>
      <c r="P35" s="77"/>
    </row>
    <row r="36" customFormat="false" ht="15" hidden="false" customHeight="true" outlineLevel="0" collapsed="false">
      <c r="A36" s="70" t="s">
        <v>236</v>
      </c>
      <c r="B36" s="71" t="n">
        <v>45657</v>
      </c>
      <c r="C36" s="72" t="s">
        <v>237</v>
      </c>
      <c r="D36" s="70" t="s">
        <v>238</v>
      </c>
      <c r="E36" s="70" t="s">
        <v>239</v>
      </c>
      <c r="F36" s="73" t="n">
        <v>12400000</v>
      </c>
      <c r="G36" s="72" t="s">
        <v>159</v>
      </c>
      <c r="H36" s="70" t="s">
        <v>131</v>
      </c>
      <c r="I36" s="70" t="s">
        <v>85</v>
      </c>
      <c r="J36" s="72" t="s">
        <v>103</v>
      </c>
      <c r="K36" s="70" t="s">
        <v>143</v>
      </c>
      <c r="L36" s="71" t="n">
        <v>45660</v>
      </c>
      <c r="M36" s="71" t="n">
        <v>46187</v>
      </c>
      <c r="N36" s="74" t="n">
        <v>8</v>
      </c>
      <c r="O36" s="70" t="s">
        <v>113</v>
      </c>
      <c r="P36" s="72" t="s">
        <v>240</v>
      </c>
    </row>
    <row r="37" customFormat="false" ht="15" hidden="false" customHeight="true" outlineLevel="0" collapsed="false">
      <c r="A37" s="75" t="s">
        <v>241</v>
      </c>
      <c r="B37" s="76" t="n">
        <v>45543</v>
      </c>
      <c r="C37" s="77" t="s">
        <v>242</v>
      </c>
      <c r="D37" s="75" t="s">
        <v>243</v>
      </c>
      <c r="E37" s="75" t="s">
        <v>239</v>
      </c>
      <c r="F37" s="78" t="n">
        <v>5800000</v>
      </c>
      <c r="G37" s="77" t="s">
        <v>195</v>
      </c>
      <c r="H37" s="75" t="s">
        <v>118</v>
      </c>
      <c r="I37" s="75" t="s">
        <v>119</v>
      </c>
      <c r="J37" s="77" t="s">
        <v>209</v>
      </c>
      <c r="K37" s="75" t="s">
        <v>125</v>
      </c>
      <c r="L37" s="76" t="n">
        <v>45547</v>
      </c>
      <c r="M37" s="76" t="n">
        <v>45552</v>
      </c>
      <c r="N37" s="79" t="n">
        <v>643</v>
      </c>
      <c r="O37" s="75" t="s">
        <v>113</v>
      </c>
      <c r="P37" s="77"/>
    </row>
    <row r="38" customFormat="false" ht="15" hidden="false" customHeight="true" outlineLevel="0" collapsed="false">
      <c r="A38" s="70" t="s">
        <v>244</v>
      </c>
      <c r="B38" s="71" t="n">
        <v>45658</v>
      </c>
      <c r="C38" s="72" t="s">
        <v>245</v>
      </c>
      <c r="D38" s="70" t="s">
        <v>246</v>
      </c>
      <c r="E38" s="70" t="s">
        <v>99</v>
      </c>
      <c r="F38" s="73" t="n">
        <v>6000000</v>
      </c>
      <c r="G38" s="72" t="s">
        <v>90</v>
      </c>
      <c r="H38" s="70" t="s">
        <v>118</v>
      </c>
      <c r="I38" s="70" t="s">
        <v>119</v>
      </c>
      <c r="J38" s="72" t="s">
        <v>178</v>
      </c>
      <c r="K38" s="70" t="s">
        <v>161</v>
      </c>
      <c r="L38" s="71" t="n">
        <v>45660</v>
      </c>
      <c r="M38" s="71" t="n">
        <v>46198</v>
      </c>
      <c r="N38" s="74" t="n">
        <v>-3</v>
      </c>
      <c r="O38" s="70" t="s">
        <v>95</v>
      </c>
      <c r="P38" s="72"/>
    </row>
    <row r="39" customFormat="false" ht="15" hidden="false" customHeight="true" outlineLevel="0" collapsed="false">
      <c r="A39" s="75" t="s">
        <v>247</v>
      </c>
      <c r="B39" s="76" t="n">
        <v>45550</v>
      </c>
      <c r="C39" s="77" t="s">
        <v>248</v>
      </c>
      <c r="D39" s="75" t="s">
        <v>249</v>
      </c>
      <c r="E39" s="75" t="s">
        <v>165</v>
      </c>
      <c r="F39" s="78" t="n">
        <v>27000000</v>
      </c>
      <c r="G39" s="77" t="s">
        <v>159</v>
      </c>
      <c r="H39" s="75" t="s">
        <v>110</v>
      </c>
      <c r="I39" s="75" t="s">
        <v>137</v>
      </c>
      <c r="J39" s="77" t="s">
        <v>112</v>
      </c>
      <c r="K39" s="75" t="s">
        <v>94</v>
      </c>
      <c r="L39" s="76" t="n">
        <v>45554</v>
      </c>
      <c r="M39" s="76" t="n">
        <v>46209</v>
      </c>
      <c r="N39" s="79" t="n">
        <v>-14</v>
      </c>
      <c r="O39" s="75" t="s">
        <v>95</v>
      </c>
      <c r="P39" s="77"/>
    </row>
    <row r="40" customFormat="false" ht="15" hidden="false" customHeight="true" outlineLevel="0" collapsed="false">
      <c r="A40" s="70" t="s">
        <v>250</v>
      </c>
      <c r="B40" s="71" t="n">
        <v>45590</v>
      </c>
      <c r="C40" s="72" t="s">
        <v>251</v>
      </c>
      <c r="D40" s="70" t="s">
        <v>252</v>
      </c>
      <c r="E40" s="70" t="s">
        <v>136</v>
      </c>
      <c r="F40" s="73" t="n">
        <v>34600000</v>
      </c>
      <c r="G40" s="72" t="s">
        <v>186</v>
      </c>
      <c r="H40" s="70" t="s">
        <v>110</v>
      </c>
      <c r="I40" s="70" t="s">
        <v>92</v>
      </c>
      <c r="J40" s="72" t="s">
        <v>148</v>
      </c>
      <c r="K40" s="70" t="s">
        <v>161</v>
      </c>
      <c r="L40" s="71" t="n">
        <v>45595</v>
      </c>
      <c r="M40" s="71" t="n">
        <v>46187</v>
      </c>
      <c r="N40" s="74" t="n">
        <v>8</v>
      </c>
      <c r="O40" s="70" t="s">
        <v>113</v>
      </c>
      <c r="P40" s="72"/>
    </row>
    <row r="41" customFormat="false" ht="15" hidden="false" customHeight="true" outlineLevel="0" collapsed="false">
      <c r="A41" s="75" t="s">
        <v>253</v>
      </c>
      <c r="B41" s="76" t="n">
        <v>45469</v>
      </c>
      <c r="C41" s="77" t="s">
        <v>254</v>
      </c>
      <c r="D41" s="75" t="s">
        <v>255</v>
      </c>
      <c r="E41" s="75" t="s">
        <v>117</v>
      </c>
      <c r="F41" s="78" t="n">
        <v>13900000</v>
      </c>
      <c r="G41" s="77" t="s">
        <v>130</v>
      </c>
      <c r="H41" s="75" t="s">
        <v>174</v>
      </c>
      <c r="I41" s="75" t="s">
        <v>119</v>
      </c>
      <c r="J41" s="77" t="s">
        <v>124</v>
      </c>
      <c r="K41" s="75" t="s">
        <v>161</v>
      </c>
      <c r="L41" s="76" t="n">
        <v>45470</v>
      </c>
      <c r="M41" s="76" t="n">
        <v>46196</v>
      </c>
      <c r="N41" s="79" t="n">
        <v>-1</v>
      </c>
      <c r="O41" s="75" t="s">
        <v>95</v>
      </c>
      <c r="P41" s="77"/>
    </row>
    <row r="42" customFormat="false" ht="15" hidden="false" customHeight="true" outlineLevel="0" collapsed="false">
      <c r="A42" s="70" t="s">
        <v>256</v>
      </c>
      <c r="B42" s="71" t="n">
        <v>45406</v>
      </c>
      <c r="C42" s="72" t="s">
        <v>257</v>
      </c>
      <c r="D42" s="70" t="s">
        <v>258</v>
      </c>
      <c r="E42" s="70" t="s">
        <v>141</v>
      </c>
      <c r="F42" s="73" t="n">
        <v>27200000</v>
      </c>
      <c r="G42" s="72" t="s">
        <v>100</v>
      </c>
      <c r="H42" s="70" t="s">
        <v>110</v>
      </c>
      <c r="I42" s="70" t="s">
        <v>92</v>
      </c>
      <c r="J42" s="72" t="s">
        <v>124</v>
      </c>
      <c r="K42" s="70" t="s">
        <v>120</v>
      </c>
      <c r="L42" s="71" t="n">
        <v>45408</v>
      </c>
      <c r="M42" s="71" t="n">
        <v>46213</v>
      </c>
      <c r="N42" s="74" t="n">
        <v>-18</v>
      </c>
      <c r="O42" s="70" t="s">
        <v>95</v>
      </c>
      <c r="P42" s="72"/>
    </row>
    <row r="43" customFormat="false" ht="15" hidden="false" customHeight="true" outlineLevel="0" collapsed="false">
      <c r="A43" s="75" t="s">
        <v>259</v>
      </c>
      <c r="B43" s="76" t="n">
        <v>45458</v>
      </c>
      <c r="C43" s="77" t="s">
        <v>260</v>
      </c>
      <c r="D43" s="75" t="s">
        <v>261</v>
      </c>
      <c r="E43" s="75" t="s">
        <v>155</v>
      </c>
      <c r="F43" s="78" t="n">
        <v>33700000</v>
      </c>
      <c r="G43" s="77" t="s">
        <v>100</v>
      </c>
      <c r="H43" s="75" t="s">
        <v>110</v>
      </c>
      <c r="I43" s="75" t="s">
        <v>119</v>
      </c>
      <c r="J43" s="77" t="s">
        <v>142</v>
      </c>
      <c r="K43" s="75" t="s">
        <v>143</v>
      </c>
      <c r="L43" s="76" t="n">
        <v>45459</v>
      </c>
      <c r="M43" s="76" t="n">
        <v>46190</v>
      </c>
      <c r="N43" s="79" t="n">
        <v>5</v>
      </c>
      <c r="O43" s="75" t="s">
        <v>113</v>
      </c>
      <c r="P43" s="77"/>
    </row>
    <row r="44" customFormat="false" ht="15" hidden="false" customHeight="true" outlineLevel="0" collapsed="false">
      <c r="A44" s="70" t="s">
        <v>262</v>
      </c>
      <c r="B44" s="71" t="n">
        <v>45620</v>
      </c>
      <c r="C44" s="72" t="s">
        <v>263</v>
      </c>
      <c r="D44" s="70" t="s">
        <v>264</v>
      </c>
      <c r="E44" s="70" t="s">
        <v>89</v>
      </c>
      <c r="F44" s="73" t="n">
        <v>5700000</v>
      </c>
      <c r="G44" s="72" t="s">
        <v>166</v>
      </c>
      <c r="H44" s="70" t="s">
        <v>118</v>
      </c>
      <c r="I44" s="70" t="s">
        <v>92</v>
      </c>
      <c r="J44" s="72" t="s">
        <v>93</v>
      </c>
      <c r="K44" s="70" t="s">
        <v>143</v>
      </c>
      <c r="L44" s="71" t="n">
        <v>45625</v>
      </c>
      <c r="M44" s="71" t="n">
        <v>46204</v>
      </c>
      <c r="N44" s="74" t="n">
        <v>-9</v>
      </c>
      <c r="O44" s="70" t="s">
        <v>95</v>
      </c>
      <c r="P44" s="72"/>
    </row>
    <row r="45" customFormat="false" ht="15" hidden="false" customHeight="true" outlineLevel="0" collapsed="false">
      <c r="A45" s="75" t="s">
        <v>265</v>
      </c>
      <c r="B45" s="76" t="n">
        <v>45509</v>
      </c>
      <c r="C45" s="77" t="s">
        <v>266</v>
      </c>
      <c r="D45" s="75" t="s">
        <v>267</v>
      </c>
      <c r="E45" s="75" t="s">
        <v>89</v>
      </c>
      <c r="F45" s="78" t="n">
        <v>19700000</v>
      </c>
      <c r="G45" s="77" t="s">
        <v>186</v>
      </c>
      <c r="H45" s="75" t="s">
        <v>101</v>
      </c>
      <c r="I45" s="75" t="s">
        <v>92</v>
      </c>
      <c r="J45" s="77" t="s">
        <v>142</v>
      </c>
      <c r="K45" s="75" t="s">
        <v>143</v>
      </c>
      <c r="L45" s="76" t="n">
        <v>45512</v>
      </c>
      <c r="M45" s="76" t="n">
        <v>46203</v>
      </c>
      <c r="N45" s="79" t="n">
        <v>-8</v>
      </c>
      <c r="O45" s="75" t="s">
        <v>95</v>
      </c>
      <c r="P45" s="77"/>
    </row>
    <row r="46" customFormat="false" ht="15" hidden="false" customHeight="true" outlineLevel="0" collapsed="false">
      <c r="A46" s="70" t="s">
        <v>268</v>
      </c>
      <c r="B46" s="71" t="n">
        <v>45659</v>
      </c>
      <c r="C46" s="72" t="s">
        <v>269</v>
      </c>
      <c r="D46" s="70" t="s">
        <v>270</v>
      </c>
      <c r="E46" s="70" t="s">
        <v>214</v>
      </c>
      <c r="F46" s="73" t="n">
        <v>26800000</v>
      </c>
      <c r="G46" s="72" t="s">
        <v>159</v>
      </c>
      <c r="H46" s="70" t="s">
        <v>110</v>
      </c>
      <c r="I46" s="70" t="s">
        <v>92</v>
      </c>
      <c r="J46" s="72" t="s">
        <v>112</v>
      </c>
      <c r="K46" s="70" t="s">
        <v>104</v>
      </c>
      <c r="L46" s="71" t="n">
        <v>45660</v>
      </c>
      <c r="M46" s="71" t="n">
        <v>46191</v>
      </c>
      <c r="N46" s="74" t="n">
        <v>4</v>
      </c>
      <c r="O46" s="70" t="s">
        <v>113</v>
      </c>
      <c r="P46" s="72"/>
    </row>
    <row r="47" customFormat="false" ht="15" hidden="false" customHeight="true" outlineLevel="0" collapsed="false">
      <c r="A47" s="75" t="s">
        <v>271</v>
      </c>
      <c r="B47" s="76" t="n">
        <v>45595</v>
      </c>
      <c r="C47" s="77" t="s">
        <v>272</v>
      </c>
      <c r="D47" s="75" t="s">
        <v>273</v>
      </c>
      <c r="E47" s="75" t="s">
        <v>89</v>
      </c>
      <c r="F47" s="78" t="n">
        <v>5400000</v>
      </c>
      <c r="G47" s="77" t="s">
        <v>100</v>
      </c>
      <c r="H47" s="75" t="s">
        <v>118</v>
      </c>
      <c r="I47" s="75" t="s">
        <v>119</v>
      </c>
      <c r="J47" s="77" t="s">
        <v>209</v>
      </c>
      <c r="K47" s="75" t="s">
        <v>161</v>
      </c>
      <c r="L47" s="76" t="n">
        <v>45596</v>
      </c>
      <c r="M47" s="76" t="n">
        <v>46193</v>
      </c>
      <c r="N47" s="79" t="n">
        <v>2</v>
      </c>
      <c r="O47" s="75" t="s">
        <v>113</v>
      </c>
      <c r="P47" s="77"/>
    </row>
    <row r="48" customFormat="false" ht="15" hidden="false" customHeight="true" outlineLevel="0" collapsed="false">
      <c r="A48" s="70" t="s">
        <v>274</v>
      </c>
      <c r="B48" s="71" t="n">
        <v>45535</v>
      </c>
      <c r="C48" s="72" t="s">
        <v>275</v>
      </c>
      <c r="D48" s="70" t="s">
        <v>276</v>
      </c>
      <c r="E48" s="70" t="s">
        <v>89</v>
      </c>
      <c r="F48" s="73" t="n">
        <v>19200000</v>
      </c>
      <c r="G48" s="72" t="s">
        <v>195</v>
      </c>
      <c r="H48" s="70" t="s">
        <v>101</v>
      </c>
      <c r="I48" s="70" t="s">
        <v>119</v>
      </c>
      <c r="J48" s="72" t="s">
        <v>178</v>
      </c>
      <c r="K48" s="70" t="s">
        <v>205</v>
      </c>
      <c r="L48" s="71" t="n">
        <v>45539</v>
      </c>
      <c r="M48" s="71" t="n">
        <v>45543</v>
      </c>
      <c r="N48" s="74" t="n">
        <v>652</v>
      </c>
      <c r="O48" s="70" t="s">
        <v>113</v>
      </c>
      <c r="P48" s="72"/>
    </row>
    <row r="49" customFormat="false" ht="15" hidden="false" customHeight="true" outlineLevel="0" collapsed="false">
      <c r="A49" s="75" t="s">
        <v>277</v>
      </c>
      <c r="B49" s="76" t="n">
        <v>45590</v>
      </c>
      <c r="C49" s="77" t="s">
        <v>278</v>
      </c>
      <c r="D49" s="75" t="s">
        <v>279</v>
      </c>
      <c r="E49" s="75" t="s">
        <v>214</v>
      </c>
      <c r="F49" s="78" t="n">
        <v>13200000</v>
      </c>
      <c r="G49" s="77" t="s">
        <v>100</v>
      </c>
      <c r="H49" s="75" t="s">
        <v>131</v>
      </c>
      <c r="I49" s="75" t="s">
        <v>119</v>
      </c>
      <c r="J49" s="77" t="s">
        <v>178</v>
      </c>
      <c r="K49" s="75" t="s">
        <v>143</v>
      </c>
      <c r="L49" s="76" t="n">
        <v>45592</v>
      </c>
      <c r="M49" s="76" t="n">
        <v>46201</v>
      </c>
      <c r="N49" s="79" t="n">
        <v>-6</v>
      </c>
      <c r="O49" s="75" t="s">
        <v>95</v>
      </c>
      <c r="P49" s="77"/>
    </row>
    <row r="50" customFormat="false" ht="15" hidden="false" customHeight="true" outlineLevel="0" collapsed="false">
      <c r="A50" s="70" t="s">
        <v>280</v>
      </c>
      <c r="B50" s="71" t="n">
        <v>45476</v>
      </c>
      <c r="C50" s="72" t="s">
        <v>281</v>
      </c>
      <c r="D50" s="70" t="s">
        <v>282</v>
      </c>
      <c r="E50" s="70" t="s">
        <v>136</v>
      </c>
      <c r="F50" s="73" t="n">
        <v>5800000</v>
      </c>
      <c r="G50" s="72" t="s">
        <v>195</v>
      </c>
      <c r="H50" s="70" t="s">
        <v>118</v>
      </c>
      <c r="I50" s="70" t="s">
        <v>119</v>
      </c>
      <c r="J50" s="72" t="s">
        <v>170</v>
      </c>
      <c r="K50" s="70" t="s">
        <v>125</v>
      </c>
      <c r="L50" s="71" t="n">
        <v>45477</v>
      </c>
      <c r="M50" s="71" t="n">
        <v>45480</v>
      </c>
      <c r="N50" s="74" t="n">
        <v>715</v>
      </c>
      <c r="O50" s="70" t="s">
        <v>113</v>
      </c>
      <c r="P50" s="72"/>
    </row>
    <row r="51" customFormat="false" ht="15" hidden="false" customHeight="true" outlineLevel="0" collapsed="false">
      <c r="A51" s="75" t="s">
        <v>283</v>
      </c>
      <c r="B51" s="76" t="n">
        <v>45424</v>
      </c>
      <c r="C51" s="77" t="s">
        <v>284</v>
      </c>
      <c r="D51" s="75" t="s">
        <v>285</v>
      </c>
      <c r="E51" s="75" t="s">
        <v>165</v>
      </c>
      <c r="F51" s="78" t="n">
        <v>13200000</v>
      </c>
      <c r="G51" s="77" t="s">
        <v>130</v>
      </c>
      <c r="H51" s="75" t="s">
        <v>174</v>
      </c>
      <c r="I51" s="75" t="s">
        <v>160</v>
      </c>
      <c r="J51" s="77" t="s">
        <v>191</v>
      </c>
      <c r="K51" s="75" t="s">
        <v>104</v>
      </c>
      <c r="L51" s="76" t="n">
        <v>45428</v>
      </c>
      <c r="M51" s="76" t="n">
        <v>46187</v>
      </c>
      <c r="N51" s="79" t="n">
        <v>8</v>
      </c>
      <c r="O51" s="75" t="s">
        <v>113</v>
      </c>
      <c r="P51" s="77"/>
    </row>
    <row r="52" customFormat="false" ht="15" hidden="false" customHeight="true" outlineLevel="0" collapsed="false">
      <c r="A52" s="70" t="s">
        <v>286</v>
      </c>
      <c r="B52" s="71" t="n">
        <v>45485</v>
      </c>
      <c r="C52" s="72" t="s">
        <v>287</v>
      </c>
      <c r="D52" s="70" t="s">
        <v>288</v>
      </c>
      <c r="E52" s="70" t="s">
        <v>99</v>
      </c>
      <c r="F52" s="73" t="n">
        <v>22700000</v>
      </c>
      <c r="G52" s="72" t="s">
        <v>159</v>
      </c>
      <c r="H52" s="70" t="s">
        <v>110</v>
      </c>
      <c r="I52" s="70" t="s">
        <v>160</v>
      </c>
      <c r="J52" s="72" t="s">
        <v>178</v>
      </c>
      <c r="K52" s="70" t="s">
        <v>205</v>
      </c>
      <c r="L52" s="71" t="n">
        <v>45486</v>
      </c>
      <c r="M52" s="71" t="n">
        <v>45491</v>
      </c>
      <c r="N52" s="74" t="n">
        <v>704</v>
      </c>
      <c r="O52" s="70" t="s">
        <v>113</v>
      </c>
      <c r="P52" s="72"/>
    </row>
    <row r="53" customFormat="false" ht="15" hidden="false" customHeight="true" outlineLevel="0" collapsed="false">
      <c r="A53" s="75" t="s">
        <v>289</v>
      </c>
      <c r="B53" s="76" t="n">
        <v>45468</v>
      </c>
      <c r="C53" s="77" t="s">
        <v>290</v>
      </c>
      <c r="D53" s="75" t="s">
        <v>291</v>
      </c>
      <c r="E53" s="75" t="s">
        <v>155</v>
      </c>
      <c r="F53" s="78" t="n">
        <v>17800000</v>
      </c>
      <c r="G53" s="77" t="s">
        <v>159</v>
      </c>
      <c r="H53" s="75" t="s">
        <v>101</v>
      </c>
      <c r="I53" s="75" t="s">
        <v>119</v>
      </c>
      <c r="J53" s="77" t="s">
        <v>112</v>
      </c>
      <c r="K53" s="75" t="s">
        <v>125</v>
      </c>
      <c r="L53" s="76" t="n">
        <v>45473</v>
      </c>
      <c r="M53" s="76" t="n">
        <v>45478</v>
      </c>
      <c r="N53" s="79" t="n">
        <v>717</v>
      </c>
      <c r="O53" s="75" t="s">
        <v>113</v>
      </c>
      <c r="P53" s="77"/>
    </row>
    <row r="54" customFormat="false" ht="15" hidden="false" customHeight="true" outlineLevel="0" collapsed="false">
      <c r="A54" s="70" t="s">
        <v>292</v>
      </c>
      <c r="B54" s="71" t="n">
        <v>45704</v>
      </c>
      <c r="C54" s="72" t="s">
        <v>293</v>
      </c>
      <c r="D54" s="70" t="s">
        <v>294</v>
      </c>
      <c r="E54" s="70" t="s">
        <v>141</v>
      </c>
      <c r="F54" s="73" t="n">
        <v>12600000</v>
      </c>
      <c r="G54" s="72" t="s">
        <v>195</v>
      </c>
      <c r="H54" s="70" t="s">
        <v>131</v>
      </c>
      <c r="I54" s="70" t="s">
        <v>119</v>
      </c>
      <c r="J54" s="72" t="s">
        <v>124</v>
      </c>
      <c r="K54" s="70" t="s">
        <v>120</v>
      </c>
      <c r="L54" s="71" t="n">
        <v>45706</v>
      </c>
      <c r="M54" s="71" t="n">
        <v>46189</v>
      </c>
      <c r="N54" s="74" t="n">
        <v>6</v>
      </c>
      <c r="O54" s="70" t="s">
        <v>113</v>
      </c>
      <c r="P54" s="72"/>
    </row>
    <row r="55" customFormat="false" ht="15" hidden="false" customHeight="true" outlineLevel="0" collapsed="false">
      <c r="A55" s="75" t="s">
        <v>295</v>
      </c>
      <c r="B55" s="76" t="n">
        <v>45714</v>
      </c>
      <c r="C55" s="77" t="s">
        <v>296</v>
      </c>
      <c r="D55" s="75" t="s">
        <v>297</v>
      </c>
      <c r="E55" s="75" t="s">
        <v>117</v>
      </c>
      <c r="F55" s="78" t="n">
        <v>14000000</v>
      </c>
      <c r="G55" s="77" t="s">
        <v>195</v>
      </c>
      <c r="H55" s="75" t="s">
        <v>131</v>
      </c>
      <c r="I55" s="75" t="s">
        <v>119</v>
      </c>
      <c r="J55" s="77" t="s">
        <v>209</v>
      </c>
      <c r="K55" s="75" t="s">
        <v>120</v>
      </c>
      <c r="L55" s="76" t="n">
        <v>45717</v>
      </c>
      <c r="M55" s="76" t="n">
        <v>46183</v>
      </c>
      <c r="N55" s="79" t="n">
        <v>12</v>
      </c>
      <c r="O55" s="75" t="s">
        <v>113</v>
      </c>
      <c r="P55" s="77"/>
    </row>
    <row r="56" customFormat="false" ht="15" hidden="false" customHeight="true" outlineLevel="0" collapsed="false">
      <c r="A56" s="70" t="s">
        <v>298</v>
      </c>
      <c r="B56" s="71" t="n">
        <v>45650</v>
      </c>
      <c r="C56" s="72" t="s">
        <v>299</v>
      </c>
      <c r="D56" s="70" t="s">
        <v>300</v>
      </c>
      <c r="E56" s="70" t="s">
        <v>136</v>
      </c>
      <c r="F56" s="73" t="n">
        <v>29700000</v>
      </c>
      <c r="G56" s="72" t="s">
        <v>130</v>
      </c>
      <c r="H56" s="70" t="s">
        <v>110</v>
      </c>
      <c r="I56" s="70" t="s">
        <v>85</v>
      </c>
      <c r="J56" s="72" t="s">
        <v>170</v>
      </c>
      <c r="K56" s="70" t="s">
        <v>143</v>
      </c>
      <c r="L56" s="71" t="n">
        <v>45653</v>
      </c>
      <c r="M56" s="71" t="n">
        <v>46206</v>
      </c>
      <c r="N56" s="74" t="n">
        <v>-11</v>
      </c>
      <c r="O56" s="70" t="s">
        <v>95</v>
      </c>
      <c r="P56" s="72" t="s">
        <v>301</v>
      </c>
    </row>
    <row r="57" customFormat="false" ht="15" hidden="false" customHeight="true" outlineLevel="0" collapsed="false">
      <c r="A57" s="75" t="s">
        <v>302</v>
      </c>
      <c r="B57" s="76" t="n">
        <v>45674</v>
      </c>
      <c r="C57" s="77" t="s">
        <v>106</v>
      </c>
      <c r="D57" s="75" t="s">
        <v>303</v>
      </c>
      <c r="E57" s="75" t="s">
        <v>165</v>
      </c>
      <c r="F57" s="78" t="n">
        <v>5100000</v>
      </c>
      <c r="G57" s="77" t="s">
        <v>100</v>
      </c>
      <c r="H57" s="75" t="s">
        <v>118</v>
      </c>
      <c r="I57" s="75" t="s">
        <v>119</v>
      </c>
      <c r="J57" s="77" t="s">
        <v>124</v>
      </c>
      <c r="K57" s="75" t="s">
        <v>125</v>
      </c>
      <c r="L57" s="76" t="n">
        <v>45679</v>
      </c>
      <c r="M57" s="76" t="n">
        <v>45683</v>
      </c>
      <c r="N57" s="79" t="n">
        <v>512</v>
      </c>
      <c r="O57" s="75" t="s">
        <v>113</v>
      </c>
      <c r="P57" s="77"/>
    </row>
    <row r="58" customFormat="false" ht="15" hidden="false" customHeight="true" outlineLevel="0" collapsed="false">
      <c r="A58" s="70" t="s">
        <v>304</v>
      </c>
      <c r="B58" s="71" t="n">
        <v>45688</v>
      </c>
      <c r="C58" s="72" t="s">
        <v>305</v>
      </c>
      <c r="D58" s="70" t="s">
        <v>306</v>
      </c>
      <c r="E58" s="70" t="s">
        <v>129</v>
      </c>
      <c r="F58" s="73" t="n">
        <v>8000000</v>
      </c>
      <c r="G58" s="72" t="s">
        <v>166</v>
      </c>
      <c r="H58" s="70" t="s">
        <v>91</v>
      </c>
      <c r="I58" s="70" t="s">
        <v>160</v>
      </c>
      <c r="J58" s="72" t="s">
        <v>112</v>
      </c>
      <c r="K58" s="70" t="s">
        <v>104</v>
      </c>
      <c r="L58" s="71" t="n">
        <v>45691</v>
      </c>
      <c r="M58" s="71" t="n">
        <v>46204</v>
      </c>
      <c r="N58" s="74" t="n">
        <v>-9</v>
      </c>
      <c r="O58" s="70" t="s">
        <v>95</v>
      </c>
      <c r="P58" s="72"/>
    </row>
    <row r="59" customFormat="false" ht="15" hidden="false" customHeight="true" outlineLevel="0" collapsed="false">
      <c r="A59" s="75" t="s">
        <v>307</v>
      </c>
      <c r="B59" s="76" t="n">
        <v>45713</v>
      </c>
      <c r="C59" s="77" t="s">
        <v>308</v>
      </c>
      <c r="D59" s="75" t="s">
        <v>309</v>
      </c>
      <c r="E59" s="75" t="s">
        <v>99</v>
      </c>
      <c r="F59" s="78" t="n">
        <v>14300000</v>
      </c>
      <c r="G59" s="77" t="s">
        <v>186</v>
      </c>
      <c r="H59" s="75" t="s">
        <v>174</v>
      </c>
      <c r="I59" s="75" t="s">
        <v>160</v>
      </c>
      <c r="J59" s="77" t="s">
        <v>124</v>
      </c>
      <c r="K59" s="75" t="s">
        <v>94</v>
      </c>
      <c r="L59" s="76" t="n">
        <v>45717</v>
      </c>
      <c r="M59" s="76" t="n">
        <v>46201</v>
      </c>
      <c r="N59" s="79" t="n">
        <v>-6</v>
      </c>
      <c r="O59" s="75" t="s">
        <v>95</v>
      </c>
      <c r="P59" s="77"/>
    </row>
    <row r="60" customFormat="false" ht="15" hidden="false" customHeight="true" outlineLevel="0" collapsed="false">
      <c r="A60" s="70" t="s">
        <v>310</v>
      </c>
      <c r="B60" s="71" t="n">
        <v>45666</v>
      </c>
      <c r="C60" s="72" t="s">
        <v>311</v>
      </c>
      <c r="D60" s="70" t="s">
        <v>312</v>
      </c>
      <c r="E60" s="70" t="s">
        <v>99</v>
      </c>
      <c r="F60" s="73" t="n">
        <v>26100000</v>
      </c>
      <c r="G60" s="72" t="s">
        <v>186</v>
      </c>
      <c r="H60" s="70" t="s">
        <v>110</v>
      </c>
      <c r="I60" s="70" t="s">
        <v>111</v>
      </c>
      <c r="J60" s="72" t="s">
        <v>148</v>
      </c>
      <c r="K60" s="70" t="s">
        <v>143</v>
      </c>
      <c r="L60" s="71" t="n">
        <v>45671</v>
      </c>
      <c r="M60" s="71" t="n">
        <v>46198</v>
      </c>
      <c r="N60" s="74" t="n">
        <v>-3</v>
      </c>
      <c r="O60" s="70" t="s">
        <v>95</v>
      </c>
      <c r="P60" s="72"/>
    </row>
    <row r="61" customFormat="false" ht="15" hidden="false" customHeight="true" outlineLevel="0" collapsed="false">
      <c r="A61" s="75" t="s">
        <v>313</v>
      </c>
      <c r="B61" s="76" t="n">
        <v>45481</v>
      </c>
      <c r="C61" s="77" t="s">
        <v>314</v>
      </c>
      <c r="D61" s="75" t="s">
        <v>315</v>
      </c>
      <c r="E61" s="75" t="s">
        <v>89</v>
      </c>
      <c r="F61" s="78" t="n">
        <v>12100000</v>
      </c>
      <c r="G61" s="77" t="s">
        <v>166</v>
      </c>
      <c r="H61" s="75" t="s">
        <v>131</v>
      </c>
      <c r="I61" s="75" t="s">
        <v>111</v>
      </c>
      <c r="J61" s="77" t="s">
        <v>124</v>
      </c>
      <c r="K61" s="75" t="s">
        <v>120</v>
      </c>
      <c r="L61" s="76" t="n">
        <v>45484</v>
      </c>
      <c r="M61" s="76" t="n">
        <v>46190</v>
      </c>
      <c r="N61" s="79" t="n">
        <v>5</v>
      </c>
      <c r="O61" s="75" t="s">
        <v>113</v>
      </c>
      <c r="P61" s="77"/>
    </row>
    <row r="62" customFormat="false" ht="15" hidden="false" customHeight="true" outlineLevel="0" collapsed="false">
      <c r="A62" s="70" t="s">
        <v>316</v>
      </c>
      <c r="B62" s="71" t="n">
        <v>45482</v>
      </c>
      <c r="C62" s="72" t="s">
        <v>317</v>
      </c>
      <c r="D62" s="70" t="s">
        <v>318</v>
      </c>
      <c r="E62" s="70" t="s">
        <v>99</v>
      </c>
      <c r="F62" s="73" t="n">
        <v>13900000</v>
      </c>
      <c r="G62" s="72" t="s">
        <v>166</v>
      </c>
      <c r="H62" s="70" t="s">
        <v>131</v>
      </c>
      <c r="I62" s="70" t="s">
        <v>137</v>
      </c>
      <c r="J62" s="72" t="s">
        <v>112</v>
      </c>
      <c r="K62" s="70" t="s">
        <v>205</v>
      </c>
      <c r="L62" s="71" t="n">
        <v>45485</v>
      </c>
      <c r="M62" s="71" t="n">
        <v>45487</v>
      </c>
      <c r="N62" s="74" t="n">
        <v>708</v>
      </c>
      <c r="O62" s="70" t="s">
        <v>113</v>
      </c>
      <c r="P62" s="72"/>
    </row>
    <row r="63" customFormat="false" ht="15" hidden="false" customHeight="true" outlineLevel="0" collapsed="false">
      <c r="A63" s="75" t="s">
        <v>319</v>
      </c>
      <c r="B63" s="76" t="n">
        <v>45447</v>
      </c>
      <c r="C63" s="77" t="s">
        <v>320</v>
      </c>
      <c r="D63" s="75" t="s">
        <v>321</v>
      </c>
      <c r="E63" s="75" t="s">
        <v>89</v>
      </c>
      <c r="F63" s="78" t="n">
        <v>9900000</v>
      </c>
      <c r="G63" s="77" t="s">
        <v>109</v>
      </c>
      <c r="H63" s="75" t="s">
        <v>131</v>
      </c>
      <c r="I63" s="75" t="s">
        <v>102</v>
      </c>
      <c r="J63" s="77" t="s">
        <v>103</v>
      </c>
      <c r="K63" s="75" t="s">
        <v>104</v>
      </c>
      <c r="L63" s="76" t="n">
        <v>45451</v>
      </c>
      <c r="M63" s="76" t="n">
        <v>46190</v>
      </c>
      <c r="N63" s="79" t="n">
        <v>5</v>
      </c>
      <c r="O63" s="75" t="s">
        <v>113</v>
      </c>
      <c r="P63" s="77"/>
    </row>
    <row r="64" customFormat="false" ht="15" hidden="false" customHeight="true" outlineLevel="0" collapsed="false">
      <c r="A64" s="70" t="s">
        <v>322</v>
      </c>
      <c r="B64" s="71" t="n">
        <v>45627</v>
      </c>
      <c r="C64" s="72" t="s">
        <v>323</v>
      </c>
      <c r="D64" s="70" t="s">
        <v>324</v>
      </c>
      <c r="E64" s="70" t="s">
        <v>214</v>
      </c>
      <c r="F64" s="73" t="n">
        <v>13400000</v>
      </c>
      <c r="G64" s="72" t="s">
        <v>166</v>
      </c>
      <c r="H64" s="70" t="s">
        <v>174</v>
      </c>
      <c r="I64" s="70" t="s">
        <v>92</v>
      </c>
      <c r="J64" s="72" t="s">
        <v>178</v>
      </c>
      <c r="K64" s="70" t="s">
        <v>104</v>
      </c>
      <c r="L64" s="71" t="n">
        <v>45628</v>
      </c>
      <c r="M64" s="71" t="n">
        <v>46189</v>
      </c>
      <c r="N64" s="74" t="n">
        <v>6</v>
      </c>
      <c r="O64" s="70" t="s">
        <v>113</v>
      </c>
      <c r="P64" s="72"/>
    </row>
    <row r="65" customFormat="false" ht="15" hidden="false" customHeight="true" outlineLevel="0" collapsed="false">
      <c r="A65" s="75" t="s">
        <v>325</v>
      </c>
      <c r="B65" s="76" t="n">
        <v>45426</v>
      </c>
      <c r="C65" s="77" t="s">
        <v>326</v>
      </c>
      <c r="D65" s="75" t="s">
        <v>327</v>
      </c>
      <c r="E65" s="75" t="s">
        <v>155</v>
      </c>
      <c r="F65" s="78" t="n">
        <v>7100000</v>
      </c>
      <c r="G65" s="77" t="s">
        <v>195</v>
      </c>
      <c r="H65" s="75" t="s">
        <v>91</v>
      </c>
      <c r="I65" s="75" t="s">
        <v>160</v>
      </c>
      <c r="J65" s="77" t="s">
        <v>148</v>
      </c>
      <c r="K65" s="75" t="s">
        <v>205</v>
      </c>
      <c r="L65" s="76" t="n">
        <v>45428</v>
      </c>
      <c r="M65" s="76" t="n">
        <v>45429</v>
      </c>
      <c r="N65" s="79" t="n">
        <v>766</v>
      </c>
      <c r="O65" s="75" t="s">
        <v>113</v>
      </c>
      <c r="P65" s="77"/>
    </row>
    <row r="66" customFormat="false" ht="15" hidden="false" customHeight="true" outlineLevel="0" collapsed="false">
      <c r="A66" s="70" t="s">
        <v>328</v>
      </c>
      <c r="B66" s="71" t="n">
        <v>45684</v>
      </c>
      <c r="C66" s="72" t="s">
        <v>329</v>
      </c>
      <c r="D66" s="70" t="s">
        <v>330</v>
      </c>
      <c r="E66" s="70" t="s">
        <v>117</v>
      </c>
      <c r="F66" s="73" t="n">
        <v>19200000</v>
      </c>
      <c r="G66" s="72" t="s">
        <v>100</v>
      </c>
      <c r="H66" s="70" t="s">
        <v>101</v>
      </c>
      <c r="I66" s="70" t="s">
        <v>119</v>
      </c>
      <c r="J66" s="72" t="s">
        <v>142</v>
      </c>
      <c r="K66" s="70" t="s">
        <v>104</v>
      </c>
      <c r="L66" s="71" t="n">
        <v>45688</v>
      </c>
      <c r="M66" s="71" t="n">
        <v>46196</v>
      </c>
      <c r="N66" s="74" t="n">
        <v>-1</v>
      </c>
      <c r="O66" s="70" t="s">
        <v>95</v>
      </c>
      <c r="P66" s="72"/>
    </row>
    <row r="67" customFormat="false" ht="15" hidden="false" customHeight="true" outlineLevel="0" collapsed="false">
      <c r="A67" s="75" t="s">
        <v>331</v>
      </c>
      <c r="B67" s="76" t="n">
        <v>45463</v>
      </c>
      <c r="C67" s="77" t="s">
        <v>332</v>
      </c>
      <c r="D67" s="75" t="s">
        <v>333</v>
      </c>
      <c r="E67" s="75" t="s">
        <v>89</v>
      </c>
      <c r="F67" s="78" t="n">
        <v>9100000</v>
      </c>
      <c r="G67" s="77" t="s">
        <v>159</v>
      </c>
      <c r="H67" s="75" t="s">
        <v>91</v>
      </c>
      <c r="I67" s="75" t="s">
        <v>92</v>
      </c>
      <c r="J67" s="77" t="s">
        <v>112</v>
      </c>
      <c r="K67" s="75" t="s">
        <v>94</v>
      </c>
      <c r="L67" s="76" t="n">
        <v>45465</v>
      </c>
      <c r="M67" s="76" t="n">
        <v>46192</v>
      </c>
      <c r="N67" s="79" t="n">
        <v>3</v>
      </c>
      <c r="O67" s="75" t="s">
        <v>113</v>
      </c>
      <c r="P67" s="77"/>
    </row>
    <row r="68" customFormat="false" ht="15" hidden="false" customHeight="true" outlineLevel="0" collapsed="false">
      <c r="A68" s="70" t="s">
        <v>334</v>
      </c>
      <c r="B68" s="71" t="n">
        <v>45530</v>
      </c>
      <c r="C68" s="72" t="s">
        <v>335</v>
      </c>
      <c r="D68" s="70" t="s">
        <v>336</v>
      </c>
      <c r="E68" s="70" t="s">
        <v>136</v>
      </c>
      <c r="F68" s="73" t="n">
        <v>32000000</v>
      </c>
      <c r="G68" s="72" t="s">
        <v>166</v>
      </c>
      <c r="H68" s="70" t="s">
        <v>110</v>
      </c>
      <c r="I68" s="70" t="s">
        <v>119</v>
      </c>
      <c r="J68" s="72" t="s">
        <v>112</v>
      </c>
      <c r="K68" s="70" t="s">
        <v>120</v>
      </c>
      <c r="L68" s="71" t="n">
        <v>45533</v>
      </c>
      <c r="M68" s="71" t="n">
        <v>46212</v>
      </c>
      <c r="N68" s="74" t="n">
        <v>-17</v>
      </c>
      <c r="O68" s="70" t="s">
        <v>95</v>
      </c>
      <c r="P68" s="72"/>
    </row>
    <row r="69" customFormat="false" ht="15" hidden="false" customHeight="true" outlineLevel="0" collapsed="false">
      <c r="A69" s="75" t="s">
        <v>337</v>
      </c>
      <c r="B69" s="76" t="n">
        <v>45519</v>
      </c>
      <c r="C69" s="77" t="s">
        <v>338</v>
      </c>
      <c r="D69" s="75" t="s">
        <v>339</v>
      </c>
      <c r="E69" s="75" t="s">
        <v>155</v>
      </c>
      <c r="F69" s="78" t="n">
        <v>12500000</v>
      </c>
      <c r="G69" s="77" t="s">
        <v>100</v>
      </c>
      <c r="H69" s="75" t="s">
        <v>174</v>
      </c>
      <c r="I69" s="75" t="s">
        <v>137</v>
      </c>
      <c r="J69" s="77" t="s">
        <v>124</v>
      </c>
      <c r="K69" s="75" t="s">
        <v>94</v>
      </c>
      <c r="L69" s="76" t="n">
        <v>45521</v>
      </c>
      <c r="M69" s="76" t="n">
        <v>46189</v>
      </c>
      <c r="N69" s="79" t="n">
        <v>6</v>
      </c>
      <c r="O69" s="75" t="s">
        <v>113</v>
      </c>
      <c r="P69" s="77"/>
    </row>
    <row r="70" customFormat="false" ht="15" hidden="false" customHeight="true" outlineLevel="0" collapsed="false">
      <c r="A70" s="70" t="s">
        <v>340</v>
      </c>
      <c r="B70" s="71" t="n">
        <v>45522</v>
      </c>
      <c r="C70" s="72" t="s">
        <v>341</v>
      </c>
      <c r="D70" s="70" t="s">
        <v>342</v>
      </c>
      <c r="E70" s="70" t="s">
        <v>89</v>
      </c>
      <c r="F70" s="73" t="n">
        <v>12500000</v>
      </c>
      <c r="G70" s="72" t="s">
        <v>90</v>
      </c>
      <c r="H70" s="70" t="s">
        <v>174</v>
      </c>
      <c r="I70" s="70" t="s">
        <v>119</v>
      </c>
      <c r="J70" s="72" t="s">
        <v>112</v>
      </c>
      <c r="K70" s="70" t="s">
        <v>94</v>
      </c>
      <c r="L70" s="71" t="n">
        <v>45527</v>
      </c>
      <c r="M70" s="71" t="n">
        <v>46204</v>
      </c>
      <c r="N70" s="74" t="n">
        <v>-9</v>
      </c>
      <c r="O70" s="70" t="s">
        <v>95</v>
      </c>
      <c r="P70" s="72"/>
    </row>
    <row r="71" customFormat="false" ht="15" hidden="false" customHeight="true" outlineLevel="0" collapsed="false">
      <c r="A71" s="75" t="s">
        <v>343</v>
      </c>
      <c r="B71" s="76" t="n">
        <v>45500</v>
      </c>
      <c r="C71" s="77" t="s">
        <v>344</v>
      </c>
      <c r="D71" s="75" t="s">
        <v>345</v>
      </c>
      <c r="E71" s="75" t="s">
        <v>108</v>
      </c>
      <c r="F71" s="78" t="n">
        <v>27400000</v>
      </c>
      <c r="G71" s="77" t="s">
        <v>186</v>
      </c>
      <c r="H71" s="75" t="s">
        <v>110</v>
      </c>
      <c r="I71" s="75" t="s">
        <v>137</v>
      </c>
      <c r="J71" s="77" t="s">
        <v>112</v>
      </c>
      <c r="K71" s="75" t="s">
        <v>120</v>
      </c>
      <c r="L71" s="76" t="n">
        <v>45505</v>
      </c>
      <c r="M71" s="76" t="n">
        <v>46184</v>
      </c>
      <c r="N71" s="79" t="n">
        <v>11</v>
      </c>
      <c r="O71" s="75" t="s">
        <v>113</v>
      </c>
      <c r="P71" s="77"/>
    </row>
    <row r="72" customFormat="false" ht="15" hidden="false" customHeight="true" outlineLevel="0" collapsed="false">
      <c r="A72" s="70" t="s">
        <v>346</v>
      </c>
      <c r="B72" s="71" t="n">
        <v>45475</v>
      </c>
      <c r="C72" s="72" t="s">
        <v>347</v>
      </c>
      <c r="D72" s="70" t="s">
        <v>348</v>
      </c>
      <c r="E72" s="70" t="s">
        <v>108</v>
      </c>
      <c r="F72" s="73" t="n">
        <v>14200000</v>
      </c>
      <c r="G72" s="72" t="s">
        <v>109</v>
      </c>
      <c r="H72" s="70" t="s">
        <v>174</v>
      </c>
      <c r="I72" s="70" t="s">
        <v>85</v>
      </c>
      <c r="J72" s="72" t="s">
        <v>142</v>
      </c>
      <c r="K72" s="70" t="s">
        <v>205</v>
      </c>
      <c r="L72" s="71" t="n">
        <v>45480</v>
      </c>
      <c r="M72" s="71" t="n">
        <v>45484</v>
      </c>
      <c r="N72" s="74" t="n">
        <v>711</v>
      </c>
      <c r="O72" s="70" t="s">
        <v>113</v>
      </c>
      <c r="P72" s="72" t="s">
        <v>301</v>
      </c>
    </row>
    <row r="73" customFormat="false" ht="15" hidden="false" customHeight="true" outlineLevel="0" collapsed="false">
      <c r="A73" s="75" t="s">
        <v>349</v>
      </c>
      <c r="B73" s="76" t="n">
        <v>45636</v>
      </c>
      <c r="C73" s="77" t="s">
        <v>350</v>
      </c>
      <c r="D73" s="75" t="s">
        <v>351</v>
      </c>
      <c r="E73" s="75" t="s">
        <v>165</v>
      </c>
      <c r="F73" s="78" t="n">
        <v>23800000</v>
      </c>
      <c r="G73" s="77" t="s">
        <v>130</v>
      </c>
      <c r="H73" s="75" t="s">
        <v>110</v>
      </c>
      <c r="I73" s="75" t="s">
        <v>160</v>
      </c>
      <c r="J73" s="77" t="s">
        <v>170</v>
      </c>
      <c r="K73" s="75" t="s">
        <v>104</v>
      </c>
      <c r="L73" s="76" t="n">
        <v>45639</v>
      </c>
      <c r="M73" s="76" t="n">
        <v>46208</v>
      </c>
      <c r="N73" s="79" t="n">
        <v>-13</v>
      </c>
      <c r="O73" s="75" t="s">
        <v>95</v>
      </c>
      <c r="P73" s="77"/>
    </row>
    <row r="74" customFormat="false" ht="15" hidden="false" customHeight="true" outlineLevel="0" collapsed="false">
      <c r="A74" s="70" t="s">
        <v>352</v>
      </c>
      <c r="B74" s="71" t="n">
        <v>45383</v>
      </c>
      <c r="C74" s="72" t="s">
        <v>353</v>
      </c>
      <c r="D74" s="70" t="s">
        <v>354</v>
      </c>
      <c r="E74" s="70" t="s">
        <v>141</v>
      </c>
      <c r="F74" s="73" t="n">
        <v>12200000</v>
      </c>
      <c r="G74" s="72" t="s">
        <v>130</v>
      </c>
      <c r="H74" s="70" t="s">
        <v>131</v>
      </c>
      <c r="I74" s="70" t="s">
        <v>102</v>
      </c>
      <c r="J74" s="72" t="s">
        <v>191</v>
      </c>
      <c r="K74" s="70" t="s">
        <v>125</v>
      </c>
      <c r="L74" s="71" t="n">
        <v>45388</v>
      </c>
      <c r="M74" s="71" t="n">
        <v>45392</v>
      </c>
      <c r="N74" s="74" t="n">
        <v>803</v>
      </c>
      <c r="O74" s="70" t="s">
        <v>113</v>
      </c>
      <c r="P74" s="72"/>
    </row>
    <row r="75" customFormat="false" ht="15" hidden="false" customHeight="true" outlineLevel="0" collapsed="false">
      <c r="A75" s="75" t="s">
        <v>355</v>
      </c>
      <c r="B75" s="76" t="n">
        <v>45664</v>
      </c>
      <c r="C75" s="77" t="s">
        <v>356</v>
      </c>
      <c r="D75" s="75" t="s">
        <v>357</v>
      </c>
      <c r="E75" s="75" t="s">
        <v>165</v>
      </c>
      <c r="F75" s="78" t="n">
        <v>29400000</v>
      </c>
      <c r="G75" s="77" t="s">
        <v>166</v>
      </c>
      <c r="H75" s="75" t="s">
        <v>110</v>
      </c>
      <c r="I75" s="75" t="s">
        <v>160</v>
      </c>
      <c r="J75" s="77" t="s">
        <v>178</v>
      </c>
      <c r="K75" s="75" t="s">
        <v>104</v>
      </c>
      <c r="L75" s="76" t="n">
        <v>45666</v>
      </c>
      <c r="M75" s="76" t="n">
        <v>46196</v>
      </c>
      <c r="N75" s="79" t="n">
        <v>-1</v>
      </c>
      <c r="O75" s="75" t="s">
        <v>95</v>
      </c>
      <c r="P75" s="77"/>
    </row>
    <row r="76" customFormat="false" ht="15" hidden="false" customHeight="true" outlineLevel="0" collapsed="false">
      <c r="A76" s="70" t="s">
        <v>358</v>
      </c>
      <c r="B76" s="71" t="n">
        <v>45591</v>
      </c>
      <c r="C76" s="72" t="s">
        <v>87</v>
      </c>
      <c r="D76" s="70" t="s">
        <v>359</v>
      </c>
      <c r="E76" s="70" t="s">
        <v>155</v>
      </c>
      <c r="F76" s="73" t="n">
        <v>24700000</v>
      </c>
      <c r="G76" s="72" t="s">
        <v>100</v>
      </c>
      <c r="H76" s="70" t="s">
        <v>110</v>
      </c>
      <c r="I76" s="70" t="s">
        <v>111</v>
      </c>
      <c r="J76" s="72" t="s">
        <v>103</v>
      </c>
      <c r="K76" s="70" t="s">
        <v>120</v>
      </c>
      <c r="L76" s="71" t="n">
        <v>45592</v>
      </c>
      <c r="M76" s="71" t="n">
        <v>46197</v>
      </c>
      <c r="N76" s="74" t="n">
        <v>-2</v>
      </c>
      <c r="O76" s="70" t="s">
        <v>95</v>
      </c>
      <c r="P76" s="72"/>
    </row>
    <row r="77" customFormat="false" ht="15" hidden="false" customHeight="true" outlineLevel="0" collapsed="false">
      <c r="A77" s="75" t="s">
        <v>360</v>
      </c>
      <c r="B77" s="76" t="n">
        <v>45522</v>
      </c>
      <c r="C77" s="77" t="s">
        <v>361</v>
      </c>
      <c r="D77" s="75" t="s">
        <v>362</v>
      </c>
      <c r="E77" s="75" t="s">
        <v>155</v>
      </c>
      <c r="F77" s="78" t="n">
        <v>15900000</v>
      </c>
      <c r="G77" s="77" t="s">
        <v>109</v>
      </c>
      <c r="H77" s="75" t="s">
        <v>174</v>
      </c>
      <c r="I77" s="75" t="s">
        <v>85</v>
      </c>
      <c r="J77" s="77" t="s">
        <v>112</v>
      </c>
      <c r="K77" s="75" t="s">
        <v>161</v>
      </c>
      <c r="L77" s="76" t="n">
        <v>45526</v>
      </c>
      <c r="M77" s="76" t="n">
        <v>46202</v>
      </c>
      <c r="N77" s="79" t="n">
        <v>-7</v>
      </c>
      <c r="O77" s="75" t="s">
        <v>95</v>
      </c>
      <c r="P77" s="77" t="s">
        <v>301</v>
      </c>
    </row>
    <row r="78" customFormat="false" ht="15" hidden="false" customHeight="true" outlineLevel="0" collapsed="false">
      <c r="A78" s="70" t="s">
        <v>363</v>
      </c>
      <c r="B78" s="71" t="n">
        <v>45524</v>
      </c>
      <c r="C78" s="72" t="s">
        <v>364</v>
      </c>
      <c r="D78" s="70" t="s">
        <v>365</v>
      </c>
      <c r="E78" s="70" t="s">
        <v>136</v>
      </c>
      <c r="F78" s="73" t="n">
        <v>20300000</v>
      </c>
      <c r="G78" s="72" t="s">
        <v>100</v>
      </c>
      <c r="H78" s="70" t="s">
        <v>101</v>
      </c>
      <c r="I78" s="70" t="s">
        <v>85</v>
      </c>
      <c r="J78" s="72" t="s">
        <v>170</v>
      </c>
      <c r="K78" s="70" t="s">
        <v>125</v>
      </c>
      <c r="L78" s="71" t="n">
        <v>45528</v>
      </c>
      <c r="M78" s="71" t="n">
        <v>45531</v>
      </c>
      <c r="N78" s="74" t="n">
        <v>664</v>
      </c>
      <c r="O78" s="70" t="s">
        <v>113</v>
      </c>
      <c r="P78" s="72" t="s">
        <v>210</v>
      </c>
    </row>
    <row r="79" customFormat="false" ht="15" hidden="false" customHeight="true" outlineLevel="0" collapsed="false">
      <c r="A79" s="75" t="s">
        <v>366</v>
      </c>
      <c r="B79" s="76" t="n">
        <v>45665</v>
      </c>
      <c r="C79" s="77" t="s">
        <v>367</v>
      </c>
      <c r="D79" s="75" t="s">
        <v>368</v>
      </c>
      <c r="E79" s="75" t="s">
        <v>117</v>
      </c>
      <c r="F79" s="78" t="n">
        <v>8400000</v>
      </c>
      <c r="G79" s="77" t="s">
        <v>166</v>
      </c>
      <c r="H79" s="75" t="s">
        <v>91</v>
      </c>
      <c r="I79" s="75" t="s">
        <v>137</v>
      </c>
      <c r="J79" s="77" t="s">
        <v>142</v>
      </c>
      <c r="K79" s="75" t="s">
        <v>104</v>
      </c>
      <c r="L79" s="76" t="n">
        <v>45670</v>
      </c>
      <c r="M79" s="76" t="n">
        <v>46199</v>
      </c>
      <c r="N79" s="79" t="n">
        <v>-4</v>
      </c>
      <c r="O79" s="75" t="s">
        <v>95</v>
      </c>
      <c r="P79" s="77"/>
    </row>
    <row r="80" customFormat="false" ht="15" hidden="false" customHeight="true" outlineLevel="0" collapsed="false">
      <c r="A80" s="70" t="s">
        <v>369</v>
      </c>
      <c r="B80" s="71" t="n">
        <v>45578</v>
      </c>
      <c r="C80" s="72" t="s">
        <v>370</v>
      </c>
      <c r="D80" s="70" t="s">
        <v>371</v>
      </c>
      <c r="E80" s="70" t="s">
        <v>117</v>
      </c>
      <c r="F80" s="73" t="n">
        <v>8200000</v>
      </c>
      <c r="G80" s="72" t="s">
        <v>186</v>
      </c>
      <c r="H80" s="70" t="s">
        <v>91</v>
      </c>
      <c r="I80" s="70" t="s">
        <v>102</v>
      </c>
      <c r="J80" s="72" t="s">
        <v>209</v>
      </c>
      <c r="K80" s="70" t="s">
        <v>125</v>
      </c>
      <c r="L80" s="71" t="n">
        <v>45582</v>
      </c>
      <c r="M80" s="71" t="n">
        <v>45584</v>
      </c>
      <c r="N80" s="74" t="n">
        <v>611</v>
      </c>
      <c r="O80" s="70" t="s">
        <v>113</v>
      </c>
      <c r="P80" s="72"/>
    </row>
    <row r="81" customFormat="false" ht="15" hidden="false" customHeight="true" outlineLevel="0" collapsed="false">
      <c r="A81" s="75" t="s">
        <v>372</v>
      </c>
      <c r="B81" s="76" t="n">
        <v>45616</v>
      </c>
      <c r="C81" s="77" t="s">
        <v>373</v>
      </c>
      <c r="D81" s="75" t="s">
        <v>374</v>
      </c>
      <c r="E81" s="75" t="s">
        <v>117</v>
      </c>
      <c r="F81" s="78" t="n">
        <v>6300000</v>
      </c>
      <c r="G81" s="77" t="s">
        <v>130</v>
      </c>
      <c r="H81" s="75" t="s">
        <v>118</v>
      </c>
      <c r="I81" s="75" t="s">
        <v>160</v>
      </c>
      <c r="J81" s="77" t="s">
        <v>142</v>
      </c>
      <c r="K81" s="75" t="s">
        <v>120</v>
      </c>
      <c r="L81" s="76" t="n">
        <v>45617</v>
      </c>
      <c r="M81" s="76" t="n">
        <v>46192</v>
      </c>
      <c r="N81" s="79" t="n">
        <v>3</v>
      </c>
      <c r="O81" s="75" t="s">
        <v>113</v>
      </c>
      <c r="P81" s="77"/>
    </row>
    <row r="82" customFormat="false" ht="15" hidden="false" customHeight="true" outlineLevel="0" collapsed="false">
      <c r="A82" s="70" t="s">
        <v>375</v>
      </c>
      <c r="B82" s="71" t="n">
        <v>45656</v>
      </c>
      <c r="C82" s="72" t="s">
        <v>376</v>
      </c>
      <c r="D82" s="70" t="s">
        <v>377</v>
      </c>
      <c r="E82" s="70" t="s">
        <v>214</v>
      </c>
      <c r="F82" s="73" t="n">
        <v>12800000</v>
      </c>
      <c r="G82" s="72" t="s">
        <v>90</v>
      </c>
      <c r="H82" s="70" t="s">
        <v>131</v>
      </c>
      <c r="I82" s="70" t="s">
        <v>85</v>
      </c>
      <c r="J82" s="72" t="s">
        <v>93</v>
      </c>
      <c r="K82" s="70" t="s">
        <v>125</v>
      </c>
      <c r="L82" s="71" t="n">
        <v>45660</v>
      </c>
      <c r="M82" s="71" t="n">
        <v>45663</v>
      </c>
      <c r="N82" s="74" t="n">
        <v>532</v>
      </c>
      <c r="O82" s="70" t="s">
        <v>113</v>
      </c>
      <c r="P82" s="72" t="s">
        <v>301</v>
      </c>
    </row>
    <row r="83" customFormat="false" ht="15" hidden="false" customHeight="true" outlineLevel="0" collapsed="false">
      <c r="A83" s="75" t="s">
        <v>378</v>
      </c>
      <c r="B83" s="76" t="n">
        <v>45605</v>
      </c>
      <c r="C83" s="77" t="s">
        <v>379</v>
      </c>
      <c r="D83" s="75" t="s">
        <v>380</v>
      </c>
      <c r="E83" s="75" t="s">
        <v>141</v>
      </c>
      <c r="F83" s="78" t="n">
        <v>33500000</v>
      </c>
      <c r="G83" s="77" t="s">
        <v>100</v>
      </c>
      <c r="H83" s="75" t="s">
        <v>110</v>
      </c>
      <c r="I83" s="75" t="s">
        <v>111</v>
      </c>
      <c r="J83" s="77" t="s">
        <v>124</v>
      </c>
      <c r="K83" s="75" t="s">
        <v>125</v>
      </c>
      <c r="L83" s="76" t="n">
        <v>45606</v>
      </c>
      <c r="M83" s="76" t="n">
        <v>45607</v>
      </c>
      <c r="N83" s="79" t="n">
        <v>588</v>
      </c>
      <c r="O83" s="75" t="s">
        <v>113</v>
      </c>
      <c r="P83" s="77"/>
    </row>
    <row r="84" customFormat="false" ht="15" hidden="false" customHeight="true" outlineLevel="0" collapsed="false">
      <c r="A84" s="70" t="s">
        <v>381</v>
      </c>
      <c r="B84" s="71" t="n">
        <v>45508</v>
      </c>
      <c r="C84" s="72" t="s">
        <v>382</v>
      </c>
      <c r="D84" s="70" t="s">
        <v>383</v>
      </c>
      <c r="E84" s="70" t="s">
        <v>108</v>
      </c>
      <c r="F84" s="73" t="n">
        <v>5100000</v>
      </c>
      <c r="G84" s="72" t="s">
        <v>130</v>
      </c>
      <c r="H84" s="70" t="s">
        <v>118</v>
      </c>
      <c r="I84" s="70" t="s">
        <v>111</v>
      </c>
      <c r="J84" s="72" t="s">
        <v>209</v>
      </c>
      <c r="K84" s="70" t="s">
        <v>143</v>
      </c>
      <c r="L84" s="71" t="n">
        <v>45513</v>
      </c>
      <c r="M84" s="71" t="n">
        <v>46200</v>
      </c>
      <c r="N84" s="74" t="n">
        <v>-5</v>
      </c>
      <c r="O84" s="70" t="s">
        <v>95</v>
      </c>
      <c r="P84" s="72"/>
    </row>
    <row r="85" customFormat="false" ht="15" hidden="false" customHeight="true" outlineLevel="0" collapsed="false">
      <c r="A85" s="75" t="s">
        <v>384</v>
      </c>
      <c r="B85" s="76" t="n">
        <v>45681</v>
      </c>
      <c r="C85" s="77" t="s">
        <v>385</v>
      </c>
      <c r="D85" s="75" t="s">
        <v>386</v>
      </c>
      <c r="E85" s="75" t="s">
        <v>129</v>
      </c>
      <c r="F85" s="78" t="n">
        <v>19200000</v>
      </c>
      <c r="G85" s="77" t="s">
        <v>159</v>
      </c>
      <c r="H85" s="75" t="s">
        <v>101</v>
      </c>
      <c r="I85" s="75" t="s">
        <v>137</v>
      </c>
      <c r="J85" s="77" t="s">
        <v>124</v>
      </c>
      <c r="K85" s="75" t="s">
        <v>161</v>
      </c>
      <c r="L85" s="76" t="n">
        <v>45683</v>
      </c>
      <c r="M85" s="76" t="n">
        <v>46194</v>
      </c>
      <c r="N85" s="79" t="n">
        <v>1</v>
      </c>
      <c r="O85" s="75" t="s">
        <v>113</v>
      </c>
      <c r="P85" s="77"/>
    </row>
    <row r="86" customFormat="false" ht="15" hidden="false" customHeight="true" outlineLevel="0" collapsed="false">
      <c r="A86" s="70" t="s">
        <v>387</v>
      </c>
      <c r="B86" s="71" t="n">
        <v>45609</v>
      </c>
      <c r="C86" s="72" t="s">
        <v>388</v>
      </c>
      <c r="D86" s="70" t="s">
        <v>389</v>
      </c>
      <c r="E86" s="70" t="s">
        <v>239</v>
      </c>
      <c r="F86" s="73" t="n">
        <v>15800000</v>
      </c>
      <c r="G86" s="72" t="s">
        <v>195</v>
      </c>
      <c r="H86" s="70" t="s">
        <v>174</v>
      </c>
      <c r="I86" s="70" t="s">
        <v>111</v>
      </c>
      <c r="J86" s="72" t="s">
        <v>103</v>
      </c>
      <c r="K86" s="70" t="s">
        <v>104</v>
      </c>
      <c r="L86" s="71" t="n">
        <v>45612</v>
      </c>
      <c r="M86" s="71" t="n">
        <v>46205</v>
      </c>
      <c r="N86" s="74" t="n">
        <v>-10</v>
      </c>
      <c r="O86" s="70" t="s">
        <v>95</v>
      </c>
      <c r="P86" s="72"/>
    </row>
    <row r="87" customFormat="false" ht="15" hidden="false" customHeight="true" outlineLevel="0" collapsed="false">
      <c r="A87" s="75" t="s">
        <v>390</v>
      </c>
      <c r="B87" s="76" t="n">
        <v>45578</v>
      </c>
      <c r="C87" s="77" t="s">
        <v>391</v>
      </c>
      <c r="D87" s="75" t="s">
        <v>392</v>
      </c>
      <c r="E87" s="75" t="s">
        <v>214</v>
      </c>
      <c r="F87" s="78" t="n">
        <v>8100000</v>
      </c>
      <c r="G87" s="77" t="s">
        <v>90</v>
      </c>
      <c r="H87" s="75" t="s">
        <v>91</v>
      </c>
      <c r="I87" s="75" t="s">
        <v>160</v>
      </c>
      <c r="J87" s="77" t="s">
        <v>142</v>
      </c>
      <c r="K87" s="75" t="s">
        <v>120</v>
      </c>
      <c r="L87" s="76" t="n">
        <v>45583</v>
      </c>
      <c r="M87" s="76" t="n">
        <v>46205</v>
      </c>
      <c r="N87" s="79" t="n">
        <v>-10</v>
      </c>
      <c r="O87" s="75" t="s">
        <v>95</v>
      </c>
      <c r="P87" s="77"/>
    </row>
    <row r="88" customFormat="false" ht="15" hidden="false" customHeight="true" outlineLevel="0" collapsed="false">
      <c r="A88" s="70" t="s">
        <v>393</v>
      </c>
      <c r="B88" s="71" t="n">
        <v>45637</v>
      </c>
      <c r="C88" s="72" t="s">
        <v>124</v>
      </c>
      <c r="D88" s="70" t="s">
        <v>394</v>
      </c>
      <c r="E88" s="70" t="s">
        <v>155</v>
      </c>
      <c r="F88" s="73" t="n">
        <v>9600000</v>
      </c>
      <c r="G88" s="72" t="s">
        <v>186</v>
      </c>
      <c r="H88" s="70" t="s">
        <v>131</v>
      </c>
      <c r="I88" s="70" t="s">
        <v>137</v>
      </c>
      <c r="J88" s="72" t="s">
        <v>178</v>
      </c>
      <c r="K88" s="70" t="s">
        <v>205</v>
      </c>
      <c r="L88" s="71" t="n">
        <v>45640</v>
      </c>
      <c r="M88" s="71" t="n">
        <v>45642</v>
      </c>
      <c r="N88" s="74" t="n">
        <v>553</v>
      </c>
      <c r="O88" s="70" t="s">
        <v>113</v>
      </c>
      <c r="P88" s="72"/>
    </row>
    <row r="89" customFormat="false" ht="15" hidden="false" customHeight="true" outlineLevel="0" collapsed="false">
      <c r="A89" s="75" t="s">
        <v>395</v>
      </c>
      <c r="B89" s="76" t="n">
        <v>45704</v>
      </c>
      <c r="C89" s="77" t="s">
        <v>396</v>
      </c>
      <c r="D89" s="75" t="s">
        <v>397</v>
      </c>
      <c r="E89" s="75" t="s">
        <v>117</v>
      </c>
      <c r="F89" s="78" t="n">
        <v>34700000</v>
      </c>
      <c r="G89" s="77" t="s">
        <v>90</v>
      </c>
      <c r="H89" s="75" t="s">
        <v>110</v>
      </c>
      <c r="I89" s="75" t="s">
        <v>85</v>
      </c>
      <c r="J89" s="77" t="s">
        <v>170</v>
      </c>
      <c r="K89" s="75" t="s">
        <v>94</v>
      </c>
      <c r="L89" s="76" t="n">
        <v>45705</v>
      </c>
      <c r="M89" s="76" t="n">
        <v>46196</v>
      </c>
      <c r="N89" s="79" t="n">
        <v>-1</v>
      </c>
      <c r="O89" s="75" t="s">
        <v>95</v>
      </c>
      <c r="P89" s="77" t="s">
        <v>301</v>
      </c>
    </row>
    <row r="90" customFormat="false" ht="15" hidden="false" customHeight="true" outlineLevel="0" collapsed="false">
      <c r="A90" s="70" t="s">
        <v>398</v>
      </c>
      <c r="B90" s="71" t="n">
        <v>45659</v>
      </c>
      <c r="C90" s="72" t="s">
        <v>399</v>
      </c>
      <c r="D90" s="70" t="s">
        <v>400</v>
      </c>
      <c r="E90" s="70" t="s">
        <v>141</v>
      </c>
      <c r="F90" s="73" t="n">
        <v>13000000</v>
      </c>
      <c r="G90" s="72" t="s">
        <v>90</v>
      </c>
      <c r="H90" s="70" t="s">
        <v>131</v>
      </c>
      <c r="I90" s="70" t="s">
        <v>92</v>
      </c>
      <c r="J90" s="72" t="s">
        <v>124</v>
      </c>
      <c r="K90" s="70" t="s">
        <v>120</v>
      </c>
      <c r="L90" s="71" t="n">
        <v>45662</v>
      </c>
      <c r="M90" s="71" t="n">
        <v>46215</v>
      </c>
      <c r="N90" s="74" t="n">
        <v>-20</v>
      </c>
      <c r="O90" s="70" t="s">
        <v>95</v>
      </c>
      <c r="P90" s="72"/>
    </row>
    <row r="91" customFormat="false" ht="15" hidden="false" customHeight="true" outlineLevel="0" collapsed="false">
      <c r="A91" s="75" t="s">
        <v>401</v>
      </c>
      <c r="B91" s="76" t="n">
        <v>45421</v>
      </c>
      <c r="C91" s="77" t="s">
        <v>402</v>
      </c>
      <c r="D91" s="75" t="s">
        <v>403</v>
      </c>
      <c r="E91" s="75" t="s">
        <v>214</v>
      </c>
      <c r="F91" s="78" t="n">
        <v>27700000</v>
      </c>
      <c r="G91" s="77" t="s">
        <v>90</v>
      </c>
      <c r="H91" s="75" t="s">
        <v>110</v>
      </c>
      <c r="I91" s="75" t="s">
        <v>160</v>
      </c>
      <c r="J91" s="77" t="s">
        <v>93</v>
      </c>
      <c r="K91" s="75" t="s">
        <v>143</v>
      </c>
      <c r="L91" s="76" t="n">
        <v>45423</v>
      </c>
      <c r="M91" s="76" t="n">
        <v>46194</v>
      </c>
      <c r="N91" s="79" t="n">
        <v>1</v>
      </c>
      <c r="O91" s="75" t="s">
        <v>113</v>
      </c>
      <c r="P91" s="77"/>
    </row>
    <row r="92" customFormat="false" ht="15" hidden="false" customHeight="true" outlineLevel="0" collapsed="false">
      <c r="A92" s="70" t="s">
        <v>404</v>
      </c>
      <c r="B92" s="71" t="n">
        <v>45571</v>
      </c>
      <c r="C92" s="72" t="s">
        <v>405</v>
      </c>
      <c r="D92" s="70" t="s">
        <v>406</v>
      </c>
      <c r="E92" s="70" t="s">
        <v>165</v>
      </c>
      <c r="F92" s="73" t="n">
        <v>12100000</v>
      </c>
      <c r="G92" s="72" t="s">
        <v>159</v>
      </c>
      <c r="H92" s="70" t="s">
        <v>174</v>
      </c>
      <c r="I92" s="70" t="s">
        <v>111</v>
      </c>
      <c r="J92" s="72" t="s">
        <v>103</v>
      </c>
      <c r="K92" s="70" t="s">
        <v>120</v>
      </c>
      <c r="L92" s="71" t="n">
        <v>45574</v>
      </c>
      <c r="M92" s="71" t="n">
        <v>46207</v>
      </c>
      <c r="N92" s="74" t="n">
        <v>-12</v>
      </c>
      <c r="O92" s="70" t="s">
        <v>95</v>
      </c>
      <c r="P92" s="72"/>
    </row>
    <row r="93" customFormat="false" ht="15" hidden="false" customHeight="true" outlineLevel="0" collapsed="false">
      <c r="A93" s="75" t="s">
        <v>407</v>
      </c>
      <c r="B93" s="76" t="n">
        <v>45695</v>
      </c>
      <c r="C93" s="77" t="s">
        <v>408</v>
      </c>
      <c r="D93" s="75" t="s">
        <v>409</v>
      </c>
      <c r="E93" s="75" t="s">
        <v>155</v>
      </c>
      <c r="F93" s="78" t="n">
        <v>12100000</v>
      </c>
      <c r="G93" s="77" t="s">
        <v>100</v>
      </c>
      <c r="H93" s="75" t="s">
        <v>174</v>
      </c>
      <c r="I93" s="75" t="s">
        <v>137</v>
      </c>
      <c r="J93" s="77" t="s">
        <v>103</v>
      </c>
      <c r="K93" s="75" t="s">
        <v>104</v>
      </c>
      <c r="L93" s="76" t="n">
        <v>45697</v>
      </c>
      <c r="M93" s="76" t="n">
        <v>46207</v>
      </c>
      <c r="N93" s="79" t="n">
        <v>-12</v>
      </c>
      <c r="O93" s="75" t="s">
        <v>95</v>
      </c>
      <c r="P93" s="77"/>
    </row>
    <row r="94" customFormat="false" ht="15" hidden="false" customHeight="true" outlineLevel="0" collapsed="false">
      <c r="A94" s="70" t="s">
        <v>410</v>
      </c>
      <c r="B94" s="71" t="n">
        <v>45635</v>
      </c>
      <c r="C94" s="72" t="s">
        <v>411</v>
      </c>
      <c r="D94" s="70" t="s">
        <v>412</v>
      </c>
      <c r="E94" s="70" t="s">
        <v>155</v>
      </c>
      <c r="F94" s="73" t="n">
        <v>4800000</v>
      </c>
      <c r="G94" s="72" t="s">
        <v>186</v>
      </c>
      <c r="H94" s="70" t="s">
        <v>118</v>
      </c>
      <c r="I94" s="70" t="s">
        <v>102</v>
      </c>
      <c r="J94" s="72" t="s">
        <v>178</v>
      </c>
      <c r="K94" s="70" t="s">
        <v>104</v>
      </c>
      <c r="L94" s="71" t="n">
        <v>45636</v>
      </c>
      <c r="M94" s="71" t="n">
        <v>46190</v>
      </c>
      <c r="N94" s="74" t="n">
        <v>5</v>
      </c>
      <c r="O94" s="70" t="s">
        <v>113</v>
      </c>
      <c r="P94" s="72"/>
    </row>
    <row r="95" customFormat="false" ht="15" hidden="false" customHeight="true" outlineLevel="0" collapsed="false">
      <c r="A95" s="75" t="s">
        <v>413</v>
      </c>
      <c r="B95" s="76" t="n">
        <v>45462</v>
      </c>
      <c r="C95" s="77" t="s">
        <v>414</v>
      </c>
      <c r="D95" s="75" t="s">
        <v>415</v>
      </c>
      <c r="E95" s="75" t="s">
        <v>214</v>
      </c>
      <c r="F95" s="78" t="n">
        <v>34500000</v>
      </c>
      <c r="G95" s="77" t="s">
        <v>130</v>
      </c>
      <c r="H95" s="75" t="s">
        <v>110</v>
      </c>
      <c r="I95" s="75" t="s">
        <v>85</v>
      </c>
      <c r="J95" s="77" t="s">
        <v>103</v>
      </c>
      <c r="K95" s="75" t="s">
        <v>143</v>
      </c>
      <c r="L95" s="76" t="n">
        <v>45466</v>
      </c>
      <c r="M95" s="76" t="n">
        <v>46207</v>
      </c>
      <c r="N95" s="79" t="n">
        <v>-12</v>
      </c>
      <c r="O95" s="75" t="s">
        <v>95</v>
      </c>
      <c r="P95" s="77" t="s">
        <v>240</v>
      </c>
    </row>
    <row r="96" customFormat="false" ht="15" hidden="false" customHeight="true" outlineLevel="0" collapsed="false">
      <c r="A96" s="70" t="s">
        <v>416</v>
      </c>
      <c r="B96" s="71" t="n">
        <v>45503</v>
      </c>
      <c r="C96" s="72" t="s">
        <v>417</v>
      </c>
      <c r="D96" s="70" t="s">
        <v>418</v>
      </c>
      <c r="E96" s="70" t="s">
        <v>239</v>
      </c>
      <c r="F96" s="73" t="n">
        <v>28200000</v>
      </c>
      <c r="G96" s="72" t="s">
        <v>195</v>
      </c>
      <c r="H96" s="70" t="s">
        <v>110</v>
      </c>
      <c r="I96" s="70" t="s">
        <v>92</v>
      </c>
      <c r="J96" s="72" t="s">
        <v>142</v>
      </c>
      <c r="K96" s="70" t="s">
        <v>143</v>
      </c>
      <c r="L96" s="71" t="n">
        <v>45506</v>
      </c>
      <c r="M96" s="71" t="n">
        <v>46190</v>
      </c>
      <c r="N96" s="74" t="n">
        <v>5</v>
      </c>
      <c r="O96" s="70" t="s">
        <v>113</v>
      </c>
      <c r="P96" s="72"/>
    </row>
    <row r="97" customFormat="false" ht="15" hidden="false" customHeight="true" outlineLevel="0" collapsed="false">
      <c r="A97" s="75" t="s">
        <v>419</v>
      </c>
      <c r="B97" s="76" t="n">
        <v>45491</v>
      </c>
      <c r="C97" s="77" t="s">
        <v>420</v>
      </c>
      <c r="D97" s="75" t="s">
        <v>421</v>
      </c>
      <c r="E97" s="75" t="s">
        <v>108</v>
      </c>
      <c r="F97" s="78" t="n">
        <v>11100000</v>
      </c>
      <c r="G97" s="77" t="s">
        <v>186</v>
      </c>
      <c r="H97" s="75" t="s">
        <v>131</v>
      </c>
      <c r="I97" s="75" t="s">
        <v>102</v>
      </c>
      <c r="J97" s="77" t="s">
        <v>142</v>
      </c>
      <c r="K97" s="75" t="s">
        <v>120</v>
      </c>
      <c r="L97" s="76" t="n">
        <v>45496</v>
      </c>
      <c r="M97" s="76" t="n">
        <v>46184</v>
      </c>
      <c r="N97" s="79" t="n">
        <v>11</v>
      </c>
      <c r="O97" s="75" t="s">
        <v>113</v>
      </c>
      <c r="P97" s="77"/>
    </row>
    <row r="98" customFormat="false" ht="15" hidden="false" customHeight="true" outlineLevel="0" collapsed="false">
      <c r="A98" s="70" t="s">
        <v>422</v>
      </c>
      <c r="B98" s="71" t="n">
        <v>45493</v>
      </c>
      <c r="C98" s="72" t="s">
        <v>423</v>
      </c>
      <c r="D98" s="70" t="s">
        <v>424</v>
      </c>
      <c r="E98" s="70" t="s">
        <v>117</v>
      </c>
      <c r="F98" s="73" t="n">
        <v>6200000</v>
      </c>
      <c r="G98" s="72" t="s">
        <v>100</v>
      </c>
      <c r="H98" s="70" t="s">
        <v>118</v>
      </c>
      <c r="I98" s="70" t="s">
        <v>160</v>
      </c>
      <c r="J98" s="72" t="s">
        <v>103</v>
      </c>
      <c r="K98" s="70" t="s">
        <v>104</v>
      </c>
      <c r="L98" s="71" t="n">
        <v>45495</v>
      </c>
      <c r="M98" s="71" t="n">
        <v>46197</v>
      </c>
      <c r="N98" s="74" t="n">
        <v>-2</v>
      </c>
      <c r="O98" s="70" t="s">
        <v>95</v>
      </c>
      <c r="P98" s="72"/>
    </row>
    <row r="99" customFormat="false" ht="15" hidden="false" customHeight="true" outlineLevel="0" collapsed="false">
      <c r="A99" s="75" t="s">
        <v>425</v>
      </c>
      <c r="B99" s="76" t="n">
        <v>45396</v>
      </c>
      <c r="C99" s="77" t="s">
        <v>426</v>
      </c>
      <c r="D99" s="75" t="s">
        <v>427</v>
      </c>
      <c r="E99" s="75" t="s">
        <v>239</v>
      </c>
      <c r="F99" s="78" t="n">
        <v>8800000</v>
      </c>
      <c r="G99" s="77" t="s">
        <v>109</v>
      </c>
      <c r="H99" s="75" t="s">
        <v>91</v>
      </c>
      <c r="I99" s="75" t="s">
        <v>111</v>
      </c>
      <c r="J99" s="77" t="s">
        <v>170</v>
      </c>
      <c r="K99" s="75" t="s">
        <v>120</v>
      </c>
      <c r="L99" s="76" t="n">
        <v>45398</v>
      </c>
      <c r="M99" s="76" t="n">
        <v>46183</v>
      </c>
      <c r="N99" s="79" t="n">
        <v>12</v>
      </c>
      <c r="O99" s="75" t="s">
        <v>113</v>
      </c>
      <c r="P99" s="77"/>
    </row>
    <row r="100" customFormat="false" ht="15" hidden="false" customHeight="true" outlineLevel="0" collapsed="false">
      <c r="A100" s="70" t="s">
        <v>428</v>
      </c>
      <c r="B100" s="71" t="n">
        <v>45415</v>
      </c>
      <c r="C100" s="72" t="s">
        <v>429</v>
      </c>
      <c r="D100" s="70" t="s">
        <v>430</v>
      </c>
      <c r="E100" s="70" t="s">
        <v>108</v>
      </c>
      <c r="F100" s="73" t="n">
        <v>9900000</v>
      </c>
      <c r="G100" s="72" t="s">
        <v>109</v>
      </c>
      <c r="H100" s="70" t="s">
        <v>131</v>
      </c>
      <c r="I100" s="70" t="s">
        <v>92</v>
      </c>
      <c r="J100" s="72" t="s">
        <v>191</v>
      </c>
      <c r="K100" s="70" t="s">
        <v>161</v>
      </c>
      <c r="L100" s="71" t="n">
        <v>45419</v>
      </c>
      <c r="M100" s="71" t="n">
        <v>46201</v>
      </c>
      <c r="N100" s="74" t="n">
        <v>-6</v>
      </c>
      <c r="O100" s="70" t="s">
        <v>95</v>
      </c>
      <c r="P100" s="72"/>
    </row>
    <row r="101" customFormat="false" ht="15" hidden="false" customHeight="true" outlineLevel="0" collapsed="false">
      <c r="A101" s="75" t="s">
        <v>431</v>
      </c>
      <c r="B101" s="76" t="n">
        <v>45720</v>
      </c>
      <c r="C101" s="77" t="s">
        <v>432</v>
      </c>
      <c r="D101" s="75" t="s">
        <v>433</v>
      </c>
      <c r="E101" s="75" t="s">
        <v>141</v>
      </c>
      <c r="F101" s="78" t="n">
        <v>17900000</v>
      </c>
      <c r="G101" s="77" t="s">
        <v>166</v>
      </c>
      <c r="H101" s="75" t="s">
        <v>101</v>
      </c>
      <c r="I101" s="75" t="s">
        <v>137</v>
      </c>
      <c r="J101" s="77" t="s">
        <v>178</v>
      </c>
      <c r="K101" s="75" t="s">
        <v>125</v>
      </c>
      <c r="L101" s="76" t="n">
        <v>45725</v>
      </c>
      <c r="M101" s="76" t="n">
        <v>45728</v>
      </c>
      <c r="N101" s="79" t="n">
        <v>467</v>
      </c>
      <c r="O101" s="75" t="s">
        <v>113</v>
      </c>
      <c r="P101" s="77"/>
    </row>
    <row r="102" customFormat="false" ht="15" hidden="false" customHeight="true" outlineLevel="0" collapsed="false">
      <c r="A102" s="70" t="s">
        <v>434</v>
      </c>
      <c r="B102" s="71" t="n">
        <v>45610</v>
      </c>
      <c r="C102" s="72" t="s">
        <v>435</v>
      </c>
      <c r="D102" s="70" t="s">
        <v>436</v>
      </c>
      <c r="E102" s="70" t="s">
        <v>214</v>
      </c>
      <c r="F102" s="73" t="n">
        <v>14900000</v>
      </c>
      <c r="G102" s="72" t="s">
        <v>186</v>
      </c>
      <c r="H102" s="70" t="s">
        <v>174</v>
      </c>
      <c r="I102" s="70" t="s">
        <v>102</v>
      </c>
      <c r="J102" s="72" t="s">
        <v>142</v>
      </c>
      <c r="K102" s="70" t="s">
        <v>94</v>
      </c>
      <c r="L102" s="71" t="n">
        <v>45611</v>
      </c>
      <c r="M102" s="71" t="n">
        <v>46189</v>
      </c>
      <c r="N102" s="74" t="n">
        <v>6</v>
      </c>
      <c r="O102" s="70" t="s">
        <v>113</v>
      </c>
      <c r="P102" s="72"/>
    </row>
    <row r="103" customFormat="false" ht="15" hidden="false" customHeight="true" outlineLevel="0" collapsed="false">
      <c r="A103" s="75" t="s">
        <v>437</v>
      </c>
      <c r="B103" s="76" t="n">
        <v>45578</v>
      </c>
      <c r="C103" s="77" t="s">
        <v>376</v>
      </c>
      <c r="D103" s="75" t="s">
        <v>438</v>
      </c>
      <c r="E103" s="75" t="s">
        <v>129</v>
      </c>
      <c r="F103" s="78" t="n">
        <v>21300000</v>
      </c>
      <c r="G103" s="77" t="s">
        <v>90</v>
      </c>
      <c r="H103" s="75" t="s">
        <v>101</v>
      </c>
      <c r="I103" s="75" t="s">
        <v>137</v>
      </c>
      <c r="J103" s="77" t="s">
        <v>103</v>
      </c>
      <c r="K103" s="75" t="s">
        <v>94</v>
      </c>
      <c r="L103" s="76" t="n">
        <v>45583</v>
      </c>
      <c r="M103" s="76" t="n">
        <v>46203</v>
      </c>
      <c r="N103" s="79" t="n">
        <v>-8</v>
      </c>
      <c r="O103" s="75" t="s">
        <v>95</v>
      </c>
      <c r="P103" s="77"/>
    </row>
    <row r="104" customFormat="false" ht="15" hidden="false" customHeight="true" outlineLevel="0" collapsed="false">
      <c r="A104" s="70" t="s">
        <v>439</v>
      </c>
      <c r="B104" s="71" t="n">
        <v>45493</v>
      </c>
      <c r="C104" s="72" t="s">
        <v>440</v>
      </c>
      <c r="D104" s="70" t="s">
        <v>441</v>
      </c>
      <c r="E104" s="70" t="s">
        <v>136</v>
      </c>
      <c r="F104" s="73" t="n">
        <v>23900000</v>
      </c>
      <c r="G104" s="72" t="s">
        <v>159</v>
      </c>
      <c r="H104" s="70" t="s">
        <v>110</v>
      </c>
      <c r="I104" s="70" t="s">
        <v>160</v>
      </c>
      <c r="J104" s="72" t="s">
        <v>103</v>
      </c>
      <c r="K104" s="70" t="s">
        <v>125</v>
      </c>
      <c r="L104" s="71" t="n">
        <v>45497</v>
      </c>
      <c r="M104" s="71" t="n">
        <v>45501</v>
      </c>
      <c r="N104" s="74" t="n">
        <v>694</v>
      </c>
      <c r="O104" s="70" t="s">
        <v>113</v>
      </c>
      <c r="P104" s="72"/>
    </row>
    <row r="105" customFormat="false" ht="15" hidden="false" customHeight="true" outlineLevel="0" collapsed="false">
      <c r="A105" s="75" t="s">
        <v>442</v>
      </c>
      <c r="B105" s="76" t="n">
        <v>45723</v>
      </c>
      <c r="C105" s="77" t="s">
        <v>443</v>
      </c>
      <c r="D105" s="75" t="s">
        <v>444</v>
      </c>
      <c r="E105" s="75" t="s">
        <v>214</v>
      </c>
      <c r="F105" s="78" t="n">
        <v>15100000</v>
      </c>
      <c r="G105" s="77" t="s">
        <v>186</v>
      </c>
      <c r="H105" s="75" t="s">
        <v>174</v>
      </c>
      <c r="I105" s="75" t="s">
        <v>102</v>
      </c>
      <c r="J105" s="77" t="s">
        <v>209</v>
      </c>
      <c r="K105" s="75" t="s">
        <v>143</v>
      </c>
      <c r="L105" s="76" t="n">
        <v>45726</v>
      </c>
      <c r="M105" s="76" t="n">
        <v>46198</v>
      </c>
      <c r="N105" s="79" t="n">
        <v>-3</v>
      </c>
      <c r="O105" s="75" t="s">
        <v>95</v>
      </c>
      <c r="P105" s="77"/>
    </row>
    <row r="106" customFormat="false" ht="15" hidden="false" customHeight="true" outlineLevel="0" collapsed="false">
      <c r="A106" s="70" t="s">
        <v>445</v>
      </c>
      <c r="B106" s="71" t="n">
        <v>45667</v>
      </c>
      <c r="C106" s="72" t="s">
        <v>446</v>
      </c>
      <c r="D106" s="70" t="s">
        <v>447</v>
      </c>
      <c r="E106" s="70" t="s">
        <v>141</v>
      </c>
      <c r="F106" s="73" t="n">
        <v>12400000</v>
      </c>
      <c r="G106" s="72" t="s">
        <v>159</v>
      </c>
      <c r="H106" s="70" t="s">
        <v>174</v>
      </c>
      <c r="I106" s="70" t="s">
        <v>85</v>
      </c>
      <c r="J106" s="72" t="s">
        <v>209</v>
      </c>
      <c r="K106" s="70" t="s">
        <v>125</v>
      </c>
      <c r="L106" s="71" t="n">
        <v>45668</v>
      </c>
      <c r="M106" s="71" t="n">
        <v>45673</v>
      </c>
      <c r="N106" s="74" t="n">
        <v>522</v>
      </c>
      <c r="O106" s="70" t="s">
        <v>113</v>
      </c>
      <c r="P106" s="72" t="s">
        <v>448</v>
      </c>
    </row>
    <row r="107" customFormat="false" ht="15" hidden="false" customHeight="true" outlineLevel="0" collapsed="false">
      <c r="A107" s="75" t="s">
        <v>449</v>
      </c>
      <c r="B107" s="76" t="n">
        <v>45436</v>
      </c>
      <c r="C107" s="77" t="s">
        <v>450</v>
      </c>
      <c r="D107" s="75" t="s">
        <v>451</v>
      </c>
      <c r="E107" s="75" t="s">
        <v>155</v>
      </c>
      <c r="F107" s="78" t="n">
        <v>22900000</v>
      </c>
      <c r="G107" s="77" t="s">
        <v>186</v>
      </c>
      <c r="H107" s="75" t="s">
        <v>110</v>
      </c>
      <c r="I107" s="75" t="s">
        <v>111</v>
      </c>
      <c r="J107" s="77" t="s">
        <v>148</v>
      </c>
      <c r="K107" s="75" t="s">
        <v>104</v>
      </c>
      <c r="L107" s="76" t="n">
        <v>45441</v>
      </c>
      <c r="M107" s="76" t="n">
        <v>46203</v>
      </c>
      <c r="N107" s="79" t="n">
        <v>-8</v>
      </c>
      <c r="O107" s="75" t="s">
        <v>95</v>
      </c>
      <c r="P107" s="77"/>
    </row>
    <row r="108" customFormat="false" ht="15" hidden="false" customHeight="true" outlineLevel="0" collapsed="false">
      <c r="A108" s="70" t="s">
        <v>452</v>
      </c>
      <c r="B108" s="71" t="n">
        <v>45602</v>
      </c>
      <c r="C108" s="72" t="s">
        <v>453</v>
      </c>
      <c r="D108" s="70" t="s">
        <v>454</v>
      </c>
      <c r="E108" s="70" t="s">
        <v>141</v>
      </c>
      <c r="F108" s="73" t="n">
        <v>19100000</v>
      </c>
      <c r="G108" s="72" t="s">
        <v>130</v>
      </c>
      <c r="H108" s="70" t="s">
        <v>101</v>
      </c>
      <c r="I108" s="70" t="s">
        <v>102</v>
      </c>
      <c r="J108" s="72" t="s">
        <v>112</v>
      </c>
      <c r="K108" s="70" t="s">
        <v>161</v>
      </c>
      <c r="L108" s="71" t="n">
        <v>45607</v>
      </c>
      <c r="M108" s="71" t="n">
        <v>46206</v>
      </c>
      <c r="N108" s="74" t="n">
        <v>-11</v>
      </c>
      <c r="O108" s="70" t="s">
        <v>95</v>
      </c>
      <c r="P108" s="72"/>
    </row>
    <row r="109" customFormat="false" ht="15" hidden="false" customHeight="true" outlineLevel="0" collapsed="false">
      <c r="A109" s="75" t="s">
        <v>455</v>
      </c>
      <c r="B109" s="76" t="n">
        <v>45562</v>
      </c>
      <c r="C109" s="77" t="s">
        <v>456</v>
      </c>
      <c r="D109" s="75" t="s">
        <v>457</v>
      </c>
      <c r="E109" s="75" t="s">
        <v>117</v>
      </c>
      <c r="F109" s="78" t="n">
        <v>4900000</v>
      </c>
      <c r="G109" s="77" t="s">
        <v>90</v>
      </c>
      <c r="H109" s="75" t="s">
        <v>118</v>
      </c>
      <c r="I109" s="75" t="s">
        <v>111</v>
      </c>
      <c r="J109" s="77" t="s">
        <v>112</v>
      </c>
      <c r="K109" s="75" t="s">
        <v>205</v>
      </c>
      <c r="L109" s="76" t="n">
        <v>45563</v>
      </c>
      <c r="M109" s="76" t="n">
        <v>45565</v>
      </c>
      <c r="N109" s="79" t="n">
        <v>630</v>
      </c>
      <c r="O109" s="75" t="s">
        <v>113</v>
      </c>
      <c r="P109" s="77"/>
    </row>
    <row r="110" customFormat="false" ht="15" hidden="false" customHeight="true" outlineLevel="0" collapsed="false">
      <c r="A110" s="70" t="s">
        <v>458</v>
      </c>
      <c r="B110" s="71" t="n">
        <v>45493</v>
      </c>
      <c r="C110" s="72" t="s">
        <v>459</v>
      </c>
      <c r="D110" s="70" t="s">
        <v>460</v>
      </c>
      <c r="E110" s="70" t="s">
        <v>141</v>
      </c>
      <c r="F110" s="73" t="n">
        <v>32600000</v>
      </c>
      <c r="G110" s="72" t="s">
        <v>109</v>
      </c>
      <c r="H110" s="70" t="s">
        <v>110</v>
      </c>
      <c r="I110" s="70" t="s">
        <v>102</v>
      </c>
      <c r="J110" s="72" t="s">
        <v>93</v>
      </c>
      <c r="K110" s="70" t="s">
        <v>125</v>
      </c>
      <c r="L110" s="71" t="n">
        <v>45497</v>
      </c>
      <c r="M110" s="71" t="n">
        <v>45501</v>
      </c>
      <c r="N110" s="74" t="n">
        <v>694</v>
      </c>
      <c r="O110" s="70" t="s">
        <v>113</v>
      </c>
      <c r="P110" s="72"/>
    </row>
    <row r="111" customFormat="false" ht="15" hidden="false" customHeight="true" outlineLevel="0" collapsed="false">
      <c r="A111" s="75" t="s">
        <v>461</v>
      </c>
      <c r="B111" s="76" t="n">
        <v>45699</v>
      </c>
      <c r="C111" s="77" t="s">
        <v>462</v>
      </c>
      <c r="D111" s="75" t="s">
        <v>463</v>
      </c>
      <c r="E111" s="75" t="s">
        <v>239</v>
      </c>
      <c r="F111" s="78" t="n">
        <v>21000000</v>
      </c>
      <c r="G111" s="77" t="s">
        <v>130</v>
      </c>
      <c r="H111" s="75" t="s">
        <v>101</v>
      </c>
      <c r="I111" s="75" t="s">
        <v>102</v>
      </c>
      <c r="J111" s="77" t="s">
        <v>178</v>
      </c>
      <c r="K111" s="75" t="s">
        <v>104</v>
      </c>
      <c r="L111" s="76" t="n">
        <v>45700</v>
      </c>
      <c r="M111" s="76" t="n">
        <v>46208</v>
      </c>
      <c r="N111" s="79" t="n">
        <v>-13</v>
      </c>
      <c r="O111" s="75" t="s">
        <v>95</v>
      </c>
      <c r="P111" s="77"/>
    </row>
    <row r="112" customFormat="false" ht="15" hidden="false" customHeight="true" outlineLevel="0" collapsed="false">
      <c r="A112" s="70" t="s">
        <v>464</v>
      </c>
      <c r="B112" s="71" t="n">
        <v>45603</v>
      </c>
      <c r="C112" s="72" t="s">
        <v>465</v>
      </c>
      <c r="D112" s="70" t="s">
        <v>466</v>
      </c>
      <c r="E112" s="70" t="s">
        <v>214</v>
      </c>
      <c r="F112" s="73" t="n">
        <v>13100000</v>
      </c>
      <c r="G112" s="72" t="s">
        <v>166</v>
      </c>
      <c r="H112" s="70" t="s">
        <v>174</v>
      </c>
      <c r="I112" s="70" t="s">
        <v>92</v>
      </c>
      <c r="J112" s="72" t="s">
        <v>103</v>
      </c>
      <c r="K112" s="70" t="s">
        <v>120</v>
      </c>
      <c r="L112" s="71" t="n">
        <v>45604</v>
      </c>
      <c r="M112" s="71" t="n">
        <v>46201</v>
      </c>
      <c r="N112" s="74" t="n">
        <v>-6</v>
      </c>
      <c r="O112" s="70" t="s">
        <v>95</v>
      </c>
      <c r="P112" s="72"/>
    </row>
    <row r="113" customFormat="false" ht="15" hidden="false" customHeight="true" outlineLevel="0" collapsed="false">
      <c r="A113" s="75" t="s">
        <v>467</v>
      </c>
      <c r="B113" s="76" t="n">
        <v>45487</v>
      </c>
      <c r="C113" s="77" t="s">
        <v>468</v>
      </c>
      <c r="D113" s="75" t="s">
        <v>469</v>
      </c>
      <c r="E113" s="75" t="s">
        <v>147</v>
      </c>
      <c r="F113" s="78" t="n">
        <v>5000000</v>
      </c>
      <c r="G113" s="77" t="s">
        <v>90</v>
      </c>
      <c r="H113" s="75" t="s">
        <v>118</v>
      </c>
      <c r="I113" s="75" t="s">
        <v>119</v>
      </c>
      <c r="J113" s="77" t="s">
        <v>148</v>
      </c>
      <c r="K113" s="75" t="s">
        <v>120</v>
      </c>
      <c r="L113" s="76" t="n">
        <v>45490</v>
      </c>
      <c r="M113" s="76" t="n">
        <v>46196</v>
      </c>
      <c r="N113" s="79" t="n">
        <v>-1</v>
      </c>
      <c r="O113" s="75" t="s">
        <v>95</v>
      </c>
      <c r="P113" s="77"/>
    </row>
    <row r="114" customFormat="false" ht="15" hidden="false" customHeight="true" outlineLevel="0" collapsed="false">
      <c r="A114" s="70" t="s">
        <v>470</v>
      </c>
      <c r="B114" s="71" t="n">
        <v>45577</v>
      </c>
      <c r="C114" s="72" t="s">
        <v>471</v>
      </c>
      <c r="D114" s="70" t="s">
        <v>472</v>
      </c>
      <c r="E114" s="70" t="s">
        <v>165</v>
      </c>
      <c r="F114" s="73" t="n">
        <v>5500000</v>
      </c>
      <c r="G114" s="72" t="s">
        <v>159</v>
      </c>
      <c r="H114" s="70" t="s">
        <v>118</v>
      </c>
      <c r="I114" s="70" t="s">
        <v>85</v>
      </c>
      <c r="J114" s="72" t="s">
        <v>191</v>
      </c>
      <c r="K114" s="70" t="s">
        <v>104</v>
      </c>
      <c r="L114" s="71" t="n">
        <v>45582</v>
      </c>
      <c r="M114" s="71" t="n">
        <v>46209</v>
      </c>
      <c r="N114" s="74" t="n">
        <v>-14</v>
      </c>
      <c r="O114" s="70" t="s">
        <v>95</v>
      </c>
      <c r="P114" s="72" t="s">
        <v>179</v>
      </c>
    </row>
    <row r="115" customFormat="false" ht="15" hidden="false" customHeight="true" outlineLevel="0" collapsed="false">
      <c r="A115" s="75" t="s">
        <v>473</v>
      </c>
      <c r="B115" s="76" t="n">
        <v>45677</v>
      </c>
      <c r="C115" s="77" t="s">
        <v>474</v>
      </c>
      <c r="D115" s="75" t="s">
        <v>475</v>
      </c>
      <c r="E115" s="75" t="s">
        <v>136</v>
      </c>
      <c r="F115" s="78" t="n">
        <v>12100000</v>
      </c>
      <c r="G115" s="77" t="s">
        <v>195</v>
      </c>
      <c r="H115" s="75" t="s">
        <v>174</v>
      </c>
      <c r="I115" s="75" t="s">
        <v>119</v>
      </c>
      <c r="J115" s="77" t="s">
        <v>93</v>
      </c>
      <c r="K115" s="75" t="s">
        <v>125</v>
      </c>
      <c r="L115" s="76" t="n">
        <v>45681</v>
      </c>
      <c r="M115" s="76" t="n">
        <v>45686</v>
      </c>
      <c r="N115" s="79" t="n">
        <v>509</v>
      </c>
      <c r="O115" s="75" t="s">
        <v>113</v>
      </c>
      <c r="P115" s="77"/>
    </row>
    <row r="116" customFormat="false" ht="15" hidden="false" customHeight="true" outlineLevel="0" collapsed="false">
      <c r="A116" s="70" t="s">
        <v>476</v>
      </c>
      <c r="B116" s="71" t="n">
        <v>45568</v>
      </c>
      <c r="C116" s="72" t="s">
        <v>477</v>
      </c>
      <c r="D116" s="70" t="s">
        <v>478</v>
      </c>
      <c r="E116" s="70" t="s">
        <v>141</v>
      </c>
      <c r="F116" s="73" t="n">
        <v>5200000</v>
      </c>
      <c r="G116" s="72" t="s">
        <v>186</v>
      </c>
      <c r="H116" s="70" t="s">
        <v>118</v>
      </c>
      <c r="I116" s="70" t="s">
        <v>92</v>
      </c>
      <c r="J116" s="72" t="s">
        <v>148</v>
      </c>
      <c r="K116" s="70" t="s">
        <v>143</v>
      </c>
      <c r="L116" s="71" t="n">
        <v>45569</v>
      </c>
      <c r="M116" s="71" t="n">
        <v>46200</v>
      </c>
      <c r="N116" s="74" t="n">
        <v>-5</v>
      </c>
      <c r="O116" s="70" t="s">
        <v>95</v>
      </c>
      <c r="P116" s="72"/>
    </row>
    <row r="117" customFormat="false" ht="15" hidden="false" customHeight="true" outlineLevel="0" collapsed="false">
      <c r="A117" s="75" t="s">
        <v>479</v>
      </c>
      <c r="B117" s="76" t="n">
        <v>45496</v>
      </c>
      <c r="C117" s="77" t="s">
        <v>480</v>
      </c>
      <c r="D117" s="75" t="s">
        <v>481</v>
      </c>
      <c r="E117" s="75" t="s">
        <v>117</v>
      </c>
      <c r="F117" s="78" t="n">
        <v>16700000</v>
      </c>
      <c r="G117" s="77" t="s">
        <v>186</v>
      </c>
      <c r="H117" s="75" t="s">
        <v>101</v>
      </c>
      <c r="I117" s="75" t="s">
        <v>119</v>
      </c>
      <c r="J117" s="77" t="s">
        <v>112</v>
      </c>
      <c r="K117" s="75" t="s">
        <v>125</v>
      </c>
      <c r="L117" s="76" t="n">
        <v>45499</v>
      </c>
      <c r="M117" s="76" t="n">
        <v>45501</v>
      </c>
      <c r="N117" s="79" t="n">
        <v>694</v>
      </c>
      <c r="O117" s="75" t="s">
        <v>113</v>
      </c>
      <c r="P117" s="77"/>
    </row>
    <row r="118" customFormat="false" ht="15" hidden="false" customHeight="true" outlineLevel="0" collapsed="false">
      <c r="A118" s="70" t="s">
        <v>482</v>
      </c>
      <c r="B118" s="71" t="n">
        <v>45457</v>
      </c>
      <c r="C118" s="72" t="s">
        <v>483</v>
      </c>
      <c r="D118" s="70" t="s">
        <v>484</v>
      </c>
      <c r="E118" s="70" t="s">
        <v>147</v>
      </c>
      <c r="F118" s="73" t="n">
        <v>12400000</v>
      </c>
      <c r="G118" s="72" t="s">
        <v>100</v>
      </c>
      <c r="H118" s="70" t="s">
        <v>131</v>
      </c>
      <c r="I118" s="70" t="s">
        <v>85</v>
      </c>
      <c r="J118" s="72" t="s">
        <v>170</v>
      </c>
      <c r="K118" s="70" t="s">
        <v>104</v>
      </c>
      <c r="L118" s="71" t="n">
        <v>45460</v>
      </c>
      <c r="M118" s="71" t="n">
        <v>46193</v>
      </c>
      <c r="N118" s="74" t="n">
        <v>2</v>
      </c>
      <c r="O118" s="70" t="s">
        <v>113</v>
      </c>
      <c r="P118" s="72" t="s">
        <v>132</v>
      </c>
    </row>
    <row r="119" customFormat="false" ht="15" hidden="false" customHeight="true" outlineLevel="0" collapsed="false">
      <c r="A119" s="75" t="s">
        <v>485</v>
      </c>
      <c r="B119" s="76" t="n">
        <v>45672</v>
      </c>
      <c r="C119" s="77" t="s">
        <v>486</v>
      </c>
      <c r="D119" s="75" t="s">
        <v>487</v>
      </c>
      <c r="E119" s="75" t="s">
        <v>155</v>
      </c>
      <c r="F119" s="78" t="n">
        <v>15200000</v>
      </c>
      <c r="G119" s="77" t="s">
        <v>166</v>
      </c>
      <c r="H119" s="75" t="s">
        <v>174</v>
      </c>
      <c r="I119" s="75" t="s">
        <v>137</v>
      </c>
      <c r="J119" s="77" t="s">
        <v>148</v>
      </c>
      <c r="K119" s="75" t="s">
        <v>143</v>
      </c>
      <c r="L119" s="76" t="n">
        <v>45677</v>
      </c>
      <c r="M119" s="76" t="n">
        <v>46197</v>
      </c>
      <c r="N119" s="79" t="n">
        <v>-2</v>
      </c>
      <c r="O119" s="75" t="s">
        <v>95</v>
      </c>
      <c r="P119" s="77"/>
    </row>
    <row r="120" customFormat="false" ht="15" hidden="false" customHeight="true" outlineLevel="0" collapsed="false">
      <c r="A120" s="70" t="s">
        <v>488</v>
      </c>
      <c r="B120" s="71" t="n">
        <v>45685</v>
      </c>
      <c r="C120" s="72" t="s">
        <v>489</v>
      </c>
      <c r="D120" s="70" t="s">
        <v>490</v>
      </c>
      <c r="E120" s="70" t="s">
        <v>214</v>
      </c>
      <c r="F120" s="73" t="n">
        <v>13900000</v>
      </c>
      <c r="G120" s="72" t="s">
        <v>159</v>
      </c>
      <c r="H120" s="70" t="s">
        <v>174</v>
      </c>
      <c r="I120" s="70" t="s">
        <v>85</v>
      </c>
      <c r="J120" s="72" t="s">
        <v>112</v>
      </c>
      <c r="K120" s="70" t="s">
        <v>125</v>
      </c>
      <c r="L120" s="71" t="n">
        <v>45686</v>
      </c>
      <c r="M120" s="71" t="n">
        <v>45689</v>
      </c>
      <c r="N120" s="74" t="n">
        <v>506</v>
      </c>
      <c r="O120" s="70" t="s">
        <v>113</v>
      </c>
      <c r="P120" s="72" t="s">
        <v>240</v>
      </c>
    </row>
    <row r="121" customFormat="false" ht="15" hidden="false" customHeight="true" outlineLevel="0" collapsed="false">
      <c r="A121" s="75" t="s">
        <v>491</v>
      </c>
      <c r="B121" s="76" t="n">
        <v>45642</v>
      </c>
      <c r="C121" s="77" t="s">
        <v>492</v>
      </c>
      <c r="D121" s="75" t="s">
        <v>493</v>
      </c>
      <c r="E121" s="75" t="s">
        <v>108</v>
      </c>
      <c r="F121" s="78" t="n">
        <v>10100000</v>
      </c>
      <c r="G121" s="77" t="s">
        <v>130</v>
      </c>
      <c r="H121" s="75" t="s">
        <v>131</v>
      </c>
      <c r="I121" s="75" t="s">
        <v>85</v>
      </c>
      <c r="J121" s="77" t="s">
        <v>93</v>
      </c>
      <c r="K121" s="75" t="s">
        <v>161</v>
      </c>
      <c r="L121" s="76" t="n">
        <v>45646</v>
      </c>
      <c r="M121" s="76" t="n">
        <v>46201</v>
      </c>
      <c r="N121" s="79" t="n">
        <v>-6</v>
      </c>
      <c r="O121" s="75" t="s">
        <v>95</v>
      </c>
      <c r="P121" s="77" t="s">
        <v>494</v>
      </c>
    </row>
    <row r="122" customFormat="false" ht="15" hidden="false" customHeight="true" outlineLevel="0" collapsed="false">
      <c r="A122" s="70" t="s">
        <v>495</v>
      </c>
      <c r="B122" s="71" t="n">
        <v>45558</v>
      </c>
      <c r="C122" s="72" t="s">
        <v>496</v>
      </c>
      <c r="D122" s="70" t="s">
        <v>497</v>
      </c>
      <c r="E122" s="70" t="s">
        <v>117</v>
      </c>
      <c r="F122" s="73" t="n">
        <v>17300000</v>
      </c>
      <c r="G122" s="72" t="s">
        <v>166</v>
      </c>
      <c r="H122" s="70" t="s">
        <v>101</v>
      </c>
      <c r="I122" s="70" t="s">
        <v>102</v>
      </c>
      <c r="J122" s="72" t="s">
        <v>142</v>
      </c>
      <c r="K122" s="70" t="s">
        <v>120</v>
      </c>
      <c r="L122" s="71" t="n">
        <v>45559</v>
      </c>
      <c r="M122" s="71" t="n">
        <v>46215</v>
      </c>
      <c r="N122" s="74" t="n">
        <v>-20</v>
      </c>
      <c r="O122" s="70" t="s">
        <v>95</v>
      </c>
      <c r="P122" s="72"/>
    </row>
    <row r="123" customFormat="false" ht="15" hidden="false" customHeight="true" outlineLevel="0" collapsed="false">
      <c r="A123" s="75" t="s">
        <v>498</v>
      </c>
      <c r="B123" s="76" t="n">
        <v>45573</v>
      </c>
      <c r="C123" s="77" t="s">
        <v>499</v>
      </c>
      <c r="D123" s="75" t="s">
        <v>500</v>
      </c>
      <c r="E123" s="75" t="s">
        <v>89</v>
      </c>
      <c r="F123" s="78" t="n">
        <v>14200000</v>
      </c>
      <c r="G123" s="77" t="s">
        <v>166</v>
      </c>
      <c r="H123" s="75" t="s">
        <v>174</v>
      </c>
      <c r="I123" s="75" t="s">
        <v>137</v>
      </c>
      <c r="J123" s="77" t="s">
        <v>148</v>
      </c>
      <c r="K123" s="75" t="s">
        <v>104</v>
      </c>
      <c r="L123" s="76" t="n">
        <v>45576</v>
      </c>
      <c r="M123" s="76" t="n">
        <v>46199</v>
      </c>
      <c r="N123" s="79" t="n">
        <v>-4</v>
      </c>
      <c r="O123" s="75" t="s">
        <v>95</v>
      </c>
      <c r="P123" s="77"/>
    </row>
    <row r="124" customFormat="false" ht="15" hidden="false" customHeight="true" outlineLevel="0" collapsed="false">
      <c r="A124" s="70" t="s">
        <v>501</v>
      </c>
      <c r="B124" s="71" t="n">
        <v>45528</v>
      </c>
      <c r="C124" s="72" t="s">
        <v>502</v>
      </c>
      <c r="D124" s="70" t="s">
        <v>503</v>
      </c>
      <c r="E124" s="70" t="s">
        <v>155</v>
      </c>
      <c r="F124" s="73" t="n">
        <v>5200000</v>
      </c>
      <c r="G124" s="72" t="s">
        <v>130</v>
      </c>
      <c r="H124" s="70" t="s">
        <v>118</v>
      </c>
      <c r="I124" s="70" t="s">
        <v>102</v>
      </c>
      <c r="J124" s="72" t="s">
        <v>103</v>
      </c>
      <c r="K124" s="70" t="s">
        <v>94</v>
      </c>
      <c r="L124" s="71" t="n">
        <v>45531</v>
      </c>
      <c r="M124" s="71" t="n">
        <v>46210</v>
      </c>
      <c r="N124" s="74" t="n">
        <v>-15</v>
      </c>
      <c r="O124" s="70" t="s">
        <v>95</v>
      </c>
      <c r="P124" s="72"/>
    </row>
    <row r="125" customFormat="false" ht="15" hidden="false" customHeight="true" outlineLevel="0" collapsed="false">
      <c r="A125" s="75" t="s">
        <v>504</v>
      </c>
      <c r="B125" s="76" t="n">
        <v>45718</v>
      </c>
      <c r="C125" s="77" t="s">
        <v>505</v>
      </c>
      <c r="D125" s="75" t="s">
        <v>506</v>
      </c>
      <c r="E125" s="75" t="s">
        <v>165</v>
      </c>
      <c r="F125" s="78" t="n">
        <v>21600000</v>
      </c>
      <c r="G125" s="77" t="s">
        <v>159</v>
      </c>
      <c r="H125" s="75" t="s">
        <v>101</v>
      </c>
      <c r="I125" s="75" t="s">
        <v>92</v>
      </c>
      <c r="J125" s="77" t="s">
        <v>209</v>
      </c>
      <c r="K125" s="75" t="s">
        <v>104</v>
      </c>
      <c r="L125" s="76" t="n">
        <v>45722</v>
      </c>
      <c r="M125" s="76" t="n">
        <v>46191</v>
      </c>
      <c r="N125" s="79" t="n">
        <v>4</v>
      </c>
      <c r="O125" s="75" t="s">
        <v>113</v>
      </c>
      <c r="P125" s="77"/>
    </row>
    <row r="126" customFormat="false" ht="15" hidden="false" customHeight="true" outlineLevel="0" collapsed="false">
      <c r="A126" s="70" t="s">
        <v>507</v>
      </c>
      <c r="B126" s="71" t="n">
        <v>45599</v>
      </c>
      <c r="C126" s="72" t="s">
        <v>508</v>
      </c>
      <c r="D126" s="70" t="s">
        <v>509</v>
      </c>
      <c r="E126" s="70" t="s">
        <v>136</v>
      </c>
      <c r="F126" s="73" t="n">
        <v>9300000</v>
      </c>
      <c r="G126" s="72" t="s">
        <v>130</v>
      </c>
      <c r="H126" s="70" t="s">
        <v>91</v>
      </c>
      <c r="I126" s="70" t="s">
        <v>85</v>
      </c>
      <c r="J126" s="72" t="s">
        <v>103</v>
      </c>
      <c r="K126" s="70" t="s">
        <v>120</v>
      </c>
      <c r="L126" s="71" t="n">
        <v>45604</v>
      </c>
      <c r="M126" s="71" t="n">
        <v>46206</v>
      </c>
      <c r="N126" s="74" t="n">
        <v>-11</v>
      </c>
      <c r="O126" s="70" t="s">
        <v>95</v>
      </c>
      <c r="P126" s="72" t="s">
        <v>494</v>
      </c>
    </row>
    <row r="127" customFormat="false" ht="15" hidden="false" customHeight="true" outlineLevel="0" collapsed="false">
      <c r="A127" s="75" t="s">
        <v>510</v>
      </c>
      <c r="B127" s="76" t="n">
        <v>45434</v>
      </c>
      <c r="C127" s="77" t="s">
        <v>511</v>
      </c>
      <c r="D127" s="75" t="s">
        <v>512</v>
      </c>
      <c r="E127" s="75" t="s">
        <v>165</v>
      </c>
      <c r="F127" s="78" t="n">
        <v>7500000</v>
      </c>
      <c r="G127" s="77" t="s">
        <v>166</v>
      </c>
      <c r="H127" s="75" t="s">
        <v>91</v>
      </c>
      <c r="I127" s="75" t="s">
        <v>92</v>
      </c>
      <c r="J127" s="77" t="s">
        <v>170</v>
      </c>
      <c r="K127" s="75" t="s">
        <v>120</v>
      </c>
      <c r="L127" s="76" t="n">
        <v>45439</v>
      </c>
      <c r="M127" s="76" t="n">
        <v>46185</v>
      </c>
      <c r="N127" s="79" t="n">
        <v>10</v>
      </c>
      <c r="O127" s="75" t="s">
        <v>113</v>
      </c>
      <c r="P127" s="77"/>
    </row>
    <row r="128" customFormat="false" ht="15" hidden="false" customHeight="true" outlineLevel="0" collapsed="false">
      <c r="A128" s="70" t="s">
        <v>513</v>
      </c>
      <c r="B128" s="71" t="n">
        <v>45467</v>
      </c>
      <c r="C128" s="72" t="s">
        <v>514</v>
      </c>
      <c r="D128" s="70" t="s">
        <v>515</v>
      </c>
      <c r="E128" s="70" t="s">
        <v>117</v>
      </c>
      <c r="F128" s="73" t="n">
        <v>7200000</v>
      </c>
      <c r="G128" s="72" t="s">
        <v>186</v>
      </c>
      <c r="H128" s="70" t="s">
        <v>91</v>
      </c>
      <c r="I128" s="70" t="s">
        <v>92</v>
      </c>
      <c r="J128" s="72" t="s">
        <v>148</v>
      </c>
      <c r="K128" s="70" t="s">
        <v>125</v>
      </c>
      <c r="L128" s="71" t="n">
        <v>45471</v>
      </c>
      <c r="M128" s="71" t="n">
        <v>45472</v>
      </c>
      <c r="N128" s="74" t="n">
        <v>723</v>
      </c>
      <c r="O128" s="70" t="s">
        <v>113</v>
      </c>
      <c r="P128" s="72"/>
    </row>
    <row r="129" customFormat="false" ht="15" hidden="false" customHeight="true" outlineLevel="0" collapsed="false">
      <c r="A129" s="75" t="s">
        <v>516</v>
      </c>
      <c r="B129" s="76" t="n">
        <v>45623</v>
      </c>
      <c r="C129" s="77" t="s">
        <v>517</v>
      </c>
      <c r="D129" s="75" t="s">
        <v>518</v>
      </c>
      <c r="E129" s="75" t="s">
        <v>117</v>
      </c>
      <c r="F129" s="78" t="n">
        <v>29500000</v>
      </c>
      <c r="G129" s="77" t="s">
        <v>90</v>
      </c>
      <c r="H129" s="75" t="s">
        <v>110</v>
      </c>
      <c r="I129" s="75" t="s">
        <v>92</v>
      </c>
      <c r="J129" s="77" t="s">
        <v>103</v>
      </c>
      <c r="K129" s="75" t="s">
        <v>104</v>
      </c>
      <c r="L129" s="76" t="n">
        <v>45625</v>
      </c>
      <c r="M129" s="76" t="n">
        <v>46198</v>
      </c>
      <c r="N129" s="79" t="n">
        <v>-3</v>
      </c>
      <c r="O129" s="75" t="s">
        <v>95</v>
      </c>
      <c r="P129" s="77"/>
    </row>
    <row r="130" customFormat="false" ht="15" hidden="false" customHeight="true" outlineLevel="0" collapsed="false">
      <c r="A130" s="70" t="s">
        <v>519</v>
      </c>
      <c r="B130" s="71" t="n">
        <v>45692</v>
      </c>
      <c r="C130" s="72" t="s">
        <v>520</v>
      </c>
      <c r="D130" s="70" t="s">
        <v>521</v>
      </c>
      <c r="E130" s="70" t="s">
        <v>239</v>
      </c>
      <c r="F130" s="73" t="n">
        <v>20400000</v>
      </c>
      <c r="G130" s="72" t="s">
        <v>186</v>
      </c>
      <c r="H130" s="70" t="s">
        <v>101</v>
      </c>
      <c r="I130" s="70" t="s">
        <v>119</v>
      </c>
      <c r="J130" s="72" t="s">
        <v>170</v>
      </c>
      <c r="K130" s="70" t="s">
        <v>125</v>
      </c>
      <c r="L130" s="71" t="n">
        <v>45694</v>
      </c>
      <c r="M130" s="71" t="n">
        <v>45697</v>
      </c>
      <c r="N130" s="74" t="n">
        <v>498</v>
      </c>
      <c r="O130" s="70" t="s">
        <v>113</v>
      </c>
      <c r="P130" s="72"/>
    </row>
    <row r="131" customFormat="false" ht="15" hidden="false" customHeight="true" outlineLevel="0" collapsed="false">
      <c r="A131" s="75" t="s">
        <v>522</v>
      </c>
      <c r="B131" s="76" t="n">
        <v>45465</v>
      </c>
      <c r="C131" s="77" t="s">
        <v>523</v>
      </c>
      <c r="D131" s="75" t="s">
        <v>524</v>
      </c>
      <c r="E131" s="75" t="s">
        <v>147</v>
      </c>
      <c r="F131" s="78" t="n">
        <v>30700000</v>
      </c>
      <c r="G131" s="77" t="s">
        <v>159</v>
      </c>
      <c r="H131" s="75" t="s">
        <v>110</v>
      </c>
      <c r="I131" s="75" t="s">
        <v>160</v>
      </c>
      <c r="J131" s="77" t="s">
        <v>93</v>
      </c>
      <c r="K131" s="75" t="s">
        <v>104</v>
      </c>
      <c r="L131" s="76" t="n">
        <v>45468</v>
      </c>
      <c r="M131" s="76" t="n">
        <v>46201</v>
      </c>
      <c r="N131" s="79" t="n">
        <v>-6</v>
      </c>
      <c r="O131" s="75" t="s">
        <v>95</v>
      </c>
      <c r="P131" s="77"/>
    </row>
    <row r="132" customFormat="false" ht="15" hidden="false" customHeight="true" outlineLevel="0" collapsed="false">
      <c r="A132" s="70" t="s">
        <v>525</v>
      </c>
      <c r="B132" s="71" t="n">
        <v>45585</v>
      </c>
      <c r="C132" s="72" t="s">
        <v>526</v>
      </c>
      <c r="D132" s="70" t="s">
        <v>527</v>
      </c>
      <c r="E132" s="70" t="s">
        <v>141</v>
      </c>
      <c r="F132" s="73" t="n">
        <v>15700000</v>
      </c>
      <c r="G132" s="72" t="s">
        <v>100</v>
      </c>
      <c r="H132" s="70" t="s">
        <v>174</v>
      </c>
      <c r="I132" s="70" t="s">
        <v>111</v>
      </c>
      <c r="J132" s="72" t="s">
        <v>178</v>
      </c>
      <c r="K132" s="70" t="s">
        <v>143</v>
      </c>
      <c r="L132" s="71" t="n">
        <v>45590</v>
      </c>
      <c r="M132" s="71" t="n">
        <v>46198</v>
      </c>
      <c r="N132" s="74" t="n">
        <v>-3</v>
      </c>
      <c r="O132" s="70" t="s">
        <v>95</v>
      </c>
      <c r="P132" s="72"/>
    </row>
    <row r="133" customFormat="false" ht="15" hidden="false" customHeight="true" outlineLevel="0" collapsed="false">
      <c r="A133" s="75" t="s">
        <v>528</v>
      </c>
      <c r="B133" s="76" t="n">
        <v>45453</v>
      </c>
      <c r="C133" s="77" t="s">
        <v>529</v>
      </c>
      <c r="D133" s="75" t="s">
        <v>530</v>
      </c>
      <c r="E133" s="75" t="s">
        <v>99</v>
      </c>
      <c r="F133" s="78" t="n">
        <v>10300000</v>
      </c>
      <c r="G133" s="77" t="s">
        <v>195</v>
      </c>
      <c r="H133" s="75" t="s">
        <v>131</v>
      </c>
      <c r="I133" s="75" t="s">
        <v>160</v>
      </c>
      <c r="J133" s="77" t="s">
        <v>209</v>
      </c>
      <c r="K133" s="75" t="s">
        <v>125</v>
      </c>
      <c r="L133" s="76" t="n">
        <v>45454</v>
      </c>
      <c r="M133" s="76" t="n">
        <v>45457</v>
      </c>
      <c r="N133" s="79" t="n">
        <v>738</v>
      </c>
      <c r="O133" s="75" t="s">
        <v>113</v>
      </c>
      <c r="P133" s="77"/>
    </row>
    <row r="134" customFormat="false" ht="15" hidden="false" customHeight="true" outlineLevel="0" collapsed="false">
      <c r="A134" s="70" t="s">
        <v>531</v>
      </c>
      <c r="B134" s="71" t="n">
        <v>45663</v>
      </c>
      <c r="C134" s="72" t="s">
        <v>290</v>
      </c>
      <c r="D134" s="70" t="s">
        <v>532</v>
      </c>
      <c r="E134" s="70" t="s">
        <v>214</v>
      </c>
      <c r="F134" s="73" t="n">
        <v>4500000</v>
      </c>
      <c r="G134" s="72" t="s">
        <v>195</v>
      </c>
      <c r="H134" s="70" t="s">
        <v>118</v>
      </c>
      <c r="I134" s="70" t="s">
        <v>111</v>
      </c>
      <c r="J134" s="72" t="s">
        <v>124</v>
      </c>
      <c r="K134" s="70" t="s">
        <v>125</v>
      </c>
      <c r="L134" s="71" t="n">
        <v>45668</v>
      </c>
      <c r="M134" s="71" t="n">
        <v>45673</v>
      </c>
      <c r="N134" s="74" t="n">
        <v>522</v>
      </c>
      <c r="O134" s="70" t="s">
        <v>113</v>
      </c>
      <c r="P134" s="72"/>
    </row>
    <row r="135" customFormat="false" ht="15" hidden="false" customHeight="true" outlineLevel="0" collapsed="false">
      <c r="A135" s="75" t="s">
        <v>533</v>
      </c>
      <c r="B135" s="76" t="n">
        <v>45439</v>
      </c>
      <c r="C135" s="77" t="s">
        <v>534</v>
      </c>
      <c r="D135" s="75" t="s">
        <v>535</v>
      </c>
      <c r="E135" s="75" t="s">
        <v>239</v>
      </c>
      <c r="F135" s="78" t="n">
        <v>5000000</v>
      </c>
      <c r="G135" s="77" t="s">
        <v>159</v>
      </c>
      <c r="H135" s="75" t="s">
        <v>118</v>
      </c>
      <c r="I135" s="75" t="s">
        <v>119</v>
      </c>
      <c r="J135" s="77" t="s">
        <v>148</v>
      </c>
      <c r="K135" s="75" t="s">
        <v>143</v>
      </c>
      <c r="L135" s="76" t="n">
        <v>45443</v>
      </c>
      <c r="M135" s="76" t="n">
        <v>46206</v>
      </c>
      <c r="N135" s="79" t="n">
        <v>-11</v>
      </c>
      <c r="O135" s="75" t="s">
        <v>95</v>
      </c>
      <c r="P135" s="77"/>
    </row>
    <row r="136" customFormat="false" ht="15" hidden="false" customHeight="true" outlineLevel="0" collapsed="false">
      <c r="A136" s="70" t="s">
        <v>536</v>
      </c>
      <c r="B136" s="71" t="n">
        <v>45675</v>
      </c>
      <c r="C136" s="72" t="s">
        <v>537</v>
      </c>
      <c r="D136" s="70" t="s">
        <v>538</v>
      </c>
      <c r="E136" s="70" t="s">
        <v>99</v>
      </c>
      <c r="F136" s="73" t="n">
        <v>13100000</v>
      </c>
      <c r="G136" s="72" t="s">
        <v>109</v>
      </c>
      <c r="H136" s="70" t="s">
        <v>131</v>
      </c>
      <c r="I136" s="70" t="s">
        <v>102</v>
      </c>
      <c r="J136" s="72" t="s">
        <v>148</v>
      </c>
      <c r="K136" s="70" t="s">
        <v>143</v>
      </c>
      <c r="L136" s="71" t="n">
        <v>45679</v>
      </c>
      <c r="M136" s="71" t="n">
        <v>46192</v>
      </c>
      <c r="N136" s="74" t="n">
        <v>3</v>
      </c>
      <c r="O136" s="70" t="s">
        <v>113</v>
      </c>
      <c r="P136" s="72"/>
    </row>
    <row r="137" customFormat="false" ht="15" hidden="false" customHeight="true" outlineLevel="0" collapsed="false">
      <c r="A137" s="75" t="s">
        <v>539</v>
      </c>
      <c r="B137" s="76" t="n">
        <v>45582</v>
      </c>
      <c r="C137" s="77" t="s">
        <v>540</v>
      </c>
      <c r="D137" s="75" t="s">
        <v>541</v>
      </c>
      <c r="E137" s="75" t="s">
        <v>165</v>
      </c>
      <c r="F137" s="78" t="n">
        <v>20600000</v>
      </c>
      <c r="G137" s="77" t="s">
        <v>159</v>
      </c>
      <c r="H137" s="75" t="s">
        <v>101</v>
      </c>
      <c r="I137" s="75" t="s">
        <v>137</v>
      </c>
      <c r="J137" s="77" t="s">
        <v>103</v>
      </c>
      <c r="K137" s="75" t="s">
        <v>161</v>
      </c>
      <c r="L137" s="76" t="n">
        <v>45586</v>
      </c>
      <c r="M137" s="76" t="n">
        <v>46188</v>
      </c>
      <c r="N137" s="79" t="n">
        <v>7</v>
      </c>
      <c r="O137" s="75" t="s">
        <v>113</v>
      </c>
      <c r="P137" s="77"/>
    </row>
    <row r="138" customFormat="false" ht="15" hidden="false" customHeight="true" outlineLevel="0" collapsed="false">
      <c r="A138" s="70" t="s">
        <v>542</v>
      </c>
      <c r="B138" s="71" t="n">
        <v>45704</v>
      </c>
      <c r="C138" s="72" t="s">
        <v>543</v>
      </c>
      <c r="D138" s="70" t="s">
        <v>544</v>
      </c>
      <c r="E138" s="70" t="s">
        <v>89</v>
      </c>
      <c r="F138" s="73" t="n">
        <v>10100000</v>
      </c>
      <c r="G138" s="72" t="s">
        <v>195</v>
      </c>
      <c r="H138" s="70" t="s">
        <v>131</v>
      </c>
      <c r="I138" s="70" t="s">
        <v>111</v>
      </c>
      <c r="J138" s="72" t="s">
        <v>124</v>
      </c>
      <c r="K138" s="70" t="s">
        <v>125</v>
      </c>
      <c r="L138" s="71" t="n">
        <v>45705</v>
      </c>
      <c r="M138" s="71" t="n">
        <v>45710</v>
      </c>
      <c r="N138" s="74" t="n">
        <v>485</v>
      </c>
      <c r="O138" s="70" t="s">
        <v>113</v>
      </c>
      <c r="P138" s="72"/>
    </row>
    <row r="139" customFormat="false" ht="15" hidden="false" customHeight="true" outlineLevel="0" collapsed="false">
      <c r="A139" s="75" t="s">
        <v>545</v>
      </c>
      <c r="B139" s="76" t="n">
        <v>45628</v>
      </c>
      <c r="C139" s="77" t="s">
        <v>546</v>
      </c>
      <c r="D139" s="75" t="s">
        <v>547</v>
      </c>
      <c r="E139" s="75" t="s">
        <v>165</v>
      </c>
      <c r="F139" s="78" t="n">
        <v>24900000</v>
      </c>
      <c r="G139" s="77" t="s">
        <v>130</v>
      </c>
      <c r="H139" s="75" t="s">
        <v>110</v>
      </c>
      <c r="I139" s="75" t="s">
        <v>160</v>
      </c>
      <c r="J139" s="77" t="s">
        <v>142</v>
      </c>
      <c r="K139" s="75" t="s">
        <v>205</v>
      </c>
      <c r="L139" s="76" t="n">
        <v>45630</v>
      </c>
      <c r="M139" s="76" t="n">
        <v>45632</v>
      </c>
      <c r="N139" s="79" t="n">
        <v>563</v>
      </c>
      <c r="O139" s="75" t="s">
        <v>113</v>
      </c>
      <c r="P139" s="77"/>
    </row>
    <row r="140" customFormat="false" ht="15" hidden="false" customHeight="true" outlineLevel="0" collapsed="false">
      <c r="A140" s="70" t="s">
        <v>548</v>
      </c>
      <c r="B140" s="71" t="n">
        <v>45661</v>
      </c>
      <c r="C140" s="72" t="s">
        <v>549</v>
      </c>
      <c r="D140" s="70" t="s">
        <v>550</v>
      </c>
      <c r="E140" s="70" t="s">
        <v>99</v>
      </c>
      <c r="F140" s="73" t="n">
        <v>6700000</v>
      </c>
      <c r="G140" s="72" t="s">
        <v>195</v>
      </c>
      <c r="H140" s="70" t="s">
        <v>91</v>
      </c>
      <c r="I140" s="70" t="s">
        <v>111</v>
      </c>
      <c r="J140" s="72" t="s">
        <v>112</v>
      </c>
      <c r="K140" s="70" t="s">
        <v>161</v>
      </c>
      <c r="L140" s="71" t="n">
        <v>45665</v>
      </c>
      <c r="M140" s="71" t="n">
        <v>46195</v>
      </c>
      <c r="N140" s="74" t="n">
        <v>0</v>
      </c>
      <c r="O140" s="70" t="s">
        <v>551</v>
      </c>
      <c r="P140" s="72"/>
    </row>
    <row r="141" customFormat="false" ht="15" hidden="false" customHeight="true" outlineLevel="0" collapsed="false">
      <c r="A141" s="75" t="s">
        <v>552</v>
      </c>
      <c r="B141" s="76" t="n">
        <v>45606</v>
      </c>
      <c r="C141" s="77" t="s">
        <v>553</v>
      </c>
      <c r="D141" s="75" t="s">
        <v>554</v>
      </c>
      <c r="E141" s="75" t="s">
        <v>165</v>
      </c>
      <c r="F141" s="78" t="n">
        <v>27600000</v>
      </c>
      <c r="G141" s="77" t="s">
        <v>195</v>
      </c>
      <c r="H141" s="75" t="s">
        <v>110</v>
      </c>
      <c r="I141" s="75" t="s">
        <v>111</v>
      </c>
      <c r="J141" s="77" t="s">
        <v>93</v>
      </c>
      <c r="K141" s="75" t="s">
        <v>125</v>
      </c>
      <c r="L141" s="76" t="n">
        <v>45610</v>
      </c>
      <c r="M141" s="76" t="n">
        <v>45614</v>
      </c>
      <c r="N141" s="79" t="n">
        <v>581</v>
      </c>
      <c r="O141" s="75" t="s">
        <v>113</v>
      </c>
      <c r="P141" s="77"/>
    </row>
    <row r="142" customFormat="false" ht="15" hidden="false" customHeight="true" outlineLevel="0" collapsed="false">
      <c r="A142" s="70" t="s">
        <v>555</v>
      </c>
      <c r="B142" s="71" t="n">
        <v>45423</v>
      </c>
      <c r="C142" s="72" t="s">
        <v>556</v>
      </c>
      <c r="D142" s="70" t="s">
        <v>557</v>
      </c>
      <c r="E142" s="70" t="s">
        <v>214</v>
      </c>
      <c r="F142" s="73" t="n">
        <v>13900000</v>
      </c>
      <c r="G142" s="72" t="s">
        <v>166</v>
      </c>
      <c r="H142" s="70" t="s">
        <v>131</v>
      </c>
      <c r="I142" s="70" t="s">
        <v>111</v>
      </c>
      <c r="J142" s="72" t="s">
        <v>93</v>
      </c>
      <c r="K142" s="70" t="s">
        <v>125</v>
      </c>
      <c r="L142" s="71" t="n">
        <v>45427</v>
      </c>
      <c r="M142" s="71" t="n">
        <v>45432</v>
      </c>
      <c r="N142" s="74" t="n">
        <v>763</v>
      </c>
      <c r="O142" s="70" t="s">
        <v>113</v>
      </c>
      <c r="P142" s="72"/>
    </row>
    <row r="143" customFormat="false" ht="15" hidden="false" customHeight="true" outlineLevel="0" collapsed="false">
      <c r="A143" s="75" t="s">
        <v>558</v>
      </c>
      <c r="B143" s="76" t="n">
        <v>45691</v>
      </c>
      <c r="C143" s="77" t="s">
        <v>559</v>
      </c>
      <c r="D143" s="75" t="s">
        <v>560</v>
      </c>
      <c r="E143" s="75" t="s">
        <v>165</v>
      </c>
      <c r="F143" s="78" t="n">
        <v>5200000</v>
      </c>
      <c r="G143" s="77" t="s">
        <v>159</v>
      </c>
      <c r="H143" s="75" t="s">
        <v>118</v>
      </c>
      <c r="I143" s="75" t="s">
        <v>85</v>
      </c>
      <c r="J143" s="77" t="s">
        <v>112</v>
      </c>
      <c r="K143" s="75" t="s">
        <v>104</v>
      </c>
      <c r="L143" s="76" t="n">
        <v>45695</v>
      </c>
      <c r="M143" s="76" t="n">
        <v>46192</v>
      </c>
      <c r="N143" s="79" t="n">
        <v>3</v>
      </c>
      <c r="O143" s="75" t="s">
        <v>113</v>
      </c>
      <c r="P143" s="77" t="s">
        <v>301</v>
      </c>
    </row>
    <row r="144" customFormat="false" ht="15" hidden="false" customHeight="true" outlineLevel="0" collapsed="false">
      <c r="A144" s="70" t="s">
        <v>561</v>
      </c>
      <c r="B144" s="71" t="n">
        <v>45464</v>
      </c>
      <c r="C144" s="72" t="s">
        <v>562</v>
      </c>
      <c r="D144" s="70" t="s">
        <v>563</v>
      </c>
      <c r="E144" s="70" t="s">
        <v>117</v>
      </c>
      <c r="F144" s="73" t="n">
        <v>10000000</v>
      </c>
      <c r="G144" s="72" t="s">
        <v>186</v>
      </c>
      <c r="H144" s="70" t="s">
        <v>131</v>
      </c>
      <c r="I144" s="70" t="s">
        <v>102</v>
      </c>
      <c r="J144" s="72" t="s">
        <v>191</v>
      </c>
      <c r="K144" s="70" t="s">
        <v>143</v>
      </c>
      <c r="L144" s="71" t="n">
        <v>45465</v>
      </c>
      <c r="M144" s="71" t="n">
        <v>46191</v>
      </c>
      <c r="N144" s="74" t="n">
        <v>4</v>
      </c>
      <c r="O144" s="70" t="s">
        <v>113</v>
      </c>
      <c r="P144" s="72"/>
    </row>
    <row r="145" customFormat="false" ht="15" hidden="false" customHeight="true" outlineLevel="0" collapsed="false">
      <c r="A145" s="75" t="s">
        <v>564</v>
      </c>
      <c r="B145" s="76" t="n">
        <v>45673</v>
      </c>
      <c r="C145" s="77" t="s">
        <v>492</v>
      </c>
      <c r="D145" s="75" t="s">
        <v>565</v>
      </c>
      <c r="E145" s="75" t="s">
        <v>129</v>
      </c>
      <c r="F145" s="78" t="n">
        <v>9200000</v>
      </c>
      <c r="G145" s="77" t="s">
        <v>159</v>
      </c>
      <c r="H145" s="75" t="s">
        <v>91</v>
      </c>
      <c r="I145" s="75" t="s">
        <v>111</v>
      </c>
      <c r="J145" s="77" t="s">
        <v>209</v>
      </c>
      <c r="K145" s="75" t="s">
        <v>143</v>
      </c>
      <c r="L145" s="76" t="n">
        <v>45674</v>
      </c>
      <c r="M145" s="76" t="n">
        <v>46206</v>
      </c>
      <c r="N145" s="79" t="n">
        <v>-11</v>
      </c>
      <c r="O145" s="75" t="s">
        <v>95</v>
      </c>
      <c r="P145" s="77"/>
    </row>
    <row r="146" customFormat="false" ht="15" hidden="false" customHeight="true" outlineLevel="0" collapsed="false">
      <c r="A146" s="70" t="s">
        <v>566</v>
      </c>
      <c r="B146" s="71" t="n">
        <v>45543</v>
      </c>
      <c r="C146" s="72" t="s">
        <v>567</v>
      </c>
      <c r="D146" s="70" t="s">
        <v>568</v>
      </c>
      <c r="E146" s="70" t="s">
        <v>165</v>
      </c>
      <c r="F146" s="73" t="n">
        <v>5700000</v>
      </c>
      <c r="G146" s="72" t="s">
        <v>166</v>
      </c>
      <c r="H146" s="70" t="s">
        <v>118</v>
      </c>
      <c r="I146" s="70" t="s">
        <v>92</v>
      </c>
      <c r="J146" s="72" t="s">
        <v>103</v>
      </c>
      <c r="K146" s="70" t="s">
        <v>143</v>
      </c>
      <c r="L146" s="71" t="n">
        <v>45546</v>
      </c>
      <c r="M146" s="71" t="n">
        <v>46194</v>
      </c>
      <c r="N146" s="74" t="n">
        <v>1</v>
      </c>
      <c r="O146" s="70" t="s">
        <v>113</v>
      </c>
      <c r="P146" s="72"/>
    </row>
    <row r="147" customFormat="false" ht="15" hidden="false" customHeight="true" outlineLevel="0" collapsed="false">
      <c r="A147" s="75" t="s">
        <v>569</v>
      </c>
      <c r="B147" s="76" t="n">
        <v>45492</v>
      </c>
      <c r="C147" s="77" t="s">
        <v>570</v>
      </c>
      <c r="D147" s="75" t="s">
        <v>571</v>
      </c>
      <c r="E147" s="75" t="s">
        <v>147</v>
      </c>
      <c r="F147" s="78" t="n">
        <v>17000000</v>
      </c>
      <c r="G147" s="77" t="s">
        <v>186</v>
      </c>
      <c r="H147" s="75" t="s">
        <v>101</v>
      </c>
      <c r="I147" s="75" t="s">
        <v>111</v>
      </c>
      <c r="J147" s="77" t="s">
        <v>112</v>
      </c>
      <c r="K147" s="75" t="s">
        <v>94</v>
      </c>
      <c r="L147" s="76" t="n">
        <v>45497</v>
      </c>
      <c r="M147" s="76" t="n">
        <v>46196</v>
      </c>
      <c r="N147" s="79" t="n">
        <v>-1</v>
      </c>
      <c r="O147" s="75" t="s">
        <v>95</v>
      </c>
      <c r="P147" s="77"/>
    </row>
    <row r="148" customFormat="false" ht="15" hidden="false" customHeight="true" outlineLevel="0" collapsed="false">
      <c r="A148" s="70" t="s">
        <v>572</v>
      </c>
      <c r="B148" s="71" t="n">
        <v>45546</v>
      </c>
      <c r="C148" s="72" t="s">
        <v>573</v>
      </c>
      <c r="D148" s="70" t="s">
        <v>574</v>
      </c>
      <c r="E148" s="70" t="s">
        <v>129</v>
      </c>
      <c r="F148" s="73" t="n">
        <v>12700000</v>
      </c>
      <c r="G148" s="72" t="s">
        <v>159</v>
      </c>
      <c r="H148" s="70" t="s">
        <v>174</v>
      </c>
      <c r="I148" s="70" t="s">
        <v>85</v>
      </c>
      <c r="J148" s="72" t="s">
        <v>142</v>
      </c>
      <c r="K148" s="70" t="s">
        <v>205</v>
      </c>
      <c r="L148" s="71" t="n">
        <v>45549</v>
      </c>
      <c r="M148" s="71" t="n">
        <v>45550</v>
      </c>
      <c r="N148" s="74" t="n">
        <v>645</v>
      </c>
      <c r="O148" s="70" t="s">
        <v>113</v>
      </c>
      <c r="P148" s="72" t="s">
        <v>210</v>
      </c>
    </row>
    <row r="149" customFormat="false" ht="15" hidden="false" customHeight="true" outlineLevel="0" collapsed="false">
      <c r="A149" s="75" t="s">
        <v>575</v>
      </c>
      <c r="B149" s="76" t="n">
        <v>45635</v>
      </c>
      <c r="C149" s="77" t="s">
        <v>576</v>
      </c>
      <c r="D149" s="75" t="s">
        <v>577</v>
      </c>
      <c r="E149" s="75" t="s">
        <v>165</v>
      </c>
      <c r="F149" s="78" t="n">
        <v>4900000</v>
      </c>
      <c r="G149" s="77" t="s">
        <v>100</v>
      </c>
      <c r="H149" s="75" t="s">
        <v>118</v>
      </c>
      <c r="I149" s="75" t="s">
        <v>160</v>
      </c>
      <c r="J149" s="77" t="s">
        <v>170</v>
      </c>
      <c r="K149" s="75" t="s">
        <v>104</v>
      </c>
      <c r="L149" s="76" t="n">
        <v>45636</v>
      </c>
      <c r="M149" s="76" t="n">
        <v>46198</v>
      </c>
      <c r="N149" s="79" t="n">
        <v>-3</v>
      </c>
      <c r="O149" s="75" t="s">
        <v>95</v>
      </c>
      <c r="P149" s="77"/>
    </row>
    <row r="150" customFormat="false" ht="15" hidden="false" customHeight="true" outlineLevel="0" collapsed="false">
      <c r="A150" s="70" t="s">
        <v>578</v>
      </c>
      <c r="B150" s="71" t="n">
        <v>45628</v>
      </c>
      <c r="C150" s="72" t="s">
        <v>579</v>
      </c>
      <c r="D150" s="70" t="s">
        <v>580</v>
      </c>
      <c r="E150" s="70" t="s">
        <v>147</v>
      </c>
      <c r="F150" s="73" t="n">
        <v>16700000</v>
      </c>
      <c r="G150" s="72" t="s">
        <v>109</v>
      </c>
      <c r="H150" s="70" t="s">
        <v>101</v>
      </c>
      <c r="I150" s="70" t="s">
        <v>102</v>
      </c>
      <c r="J150" s="72" t="s">
        <v>112</v>
      </c>
      <c r="K150" s="70" t="s">
        <v>143</v>
      </c>
      <c r="L150" s="71" t="n">
        <v>45633</v>
      </c>
      <c r="M150" s="71" t="n">
        <v>46200</v>
      </c>
      <c r="N150" s="74" t="n">
        <v>-5</v>
      </c>
      <c r="O150" s="70" t="s">
        <v>95</v>
      </c>
      <c r="P150" s="72"/>
    </row>
    <row r="151" customFormat="false" ht="15" hidden="false" customHeight="true" outlineLevel="0" collapsed="false">
      <c r="A151" s="75" t="s">
        <v>581</v>
      </c>
      <c r="B151" s="76" t="n">
        <v>45559</v>
      </c>
      <c r="C151" s="77" t="s">
        <v>582</v>
      </c>
      <c r="D151" s="75" t="s">
        <v>583</v>
      </c>
      <c r="E151" s="75" t="s">
        <v>129</v>
      </c>
      <c r="F151" s="78" t="n">
        <v>23200000</v>
      </c>
      <c r="G151" s="77" t="s">
        <v>130</v>
      </c>
      <c r="H151" s="75" t="s">
        <v>110</v>
      </c>
      <c r="I151" s="75" t="s">
        <v>119</v>
      </c>
      <c r="J151" s="77" t="s">
        <v>142</v>
      </c>
      <c r="K151" s="75" t="s">
        <v>94</v>
      </c>
      <c r="L151" s="76" t="n">
        <v>45561</v>
      </c>
      <c r="M151" s="76" t="n">
        <v>46204</v>
      </c>
      <c r="N151" s="79" t="n">
        <v>-9</v>
      </c>
      <c r="O151" s="75" t="s">
        <v>95</v>
      </c>
      <c r="P151" s="77"/>
    </row>
    <row r="152" customFormat="false" ht="15" hidden="false" customHeight="true" outlineLevel="0" collapsed="false">
      <c r="A152" s="70" t="s">
        <v>584</v>
      </c>
      <c r="B152" s="71" t="n">
        <v>45548</v>
      </c>
      <c r="C152" s="72" t="s">
        <v>585</v>
      </c>
      <c r="D152" s="70" t="s">
        <v>586</v>
      </c>
      <c r="E152" s="70" t="s">
        <v>136</v>
      </c>
      <c r="F152" s="73" t="n">
        <v>5600000</v>
      </c>
      <c r="G152" s="72" t="s">
        <v>195</v>
      </c>
      <c r="H152" s="70" t="s">
        <v>118</v>
      </c>
      <c r="I152" s="70" t="s">
        <v>92</v>
      </c>
      <c r="J152" s="72" t="s">
        <v>112</v>
      </c>
      <c r="K152" s="70" t="s">
        <v>104</v>
      </c>
      <c r="L152" s="71" t="n">
        <v>45550</v>
      </c>
      <c r="M152" s="71" t="n">
        <v>46198</v>
      </c>
      <c r="N152" s="74" t="n">
        <v>-3</v>
      </c>
      <c r="O152" s="70" t="s">
        <v>95</v>
      </c>
      <c r="P152" s="72"/>
    </row>
    <row r="153" customFormat="false" ht="15" hidden="false" customHeight="true" outlineLevel="0" collapsed="false">
      <c r="A153" s="75" t="s">
        <v>587</v>
      </c>
      <c r="B153" s="76" t="n">
        <v>45640</v>
      </c>
      <c r="C153" s="77" t="s">
        <v>588</v>
      </c>
      <c r="D153" s="75" t="s">
        <v>589</v>
      </c>
      <c r="E153" s="75" t="s">
        <v>99</v>
      </c>
      <c r="F153" s="78" t="n">
        <v>9100000</v>
      </c>
      <c r="G153" s="77" t="s">
        <v>90</v>
      </c>
      <c r="H153" s="75" t="s">
        <v>91</v>
      </c>
      <c r="I153" s="75" t="s">
        <v>111</v>
      </c>
      <c r="J153" s="77" t="s">
        <v>148</v>
      </c>
      <c r="K153" s="75" t="s">
        <v>161</v>
      </c>
      <c r="L153" s="76" t="n">
        <v>45642</v>
      </c>
      <c r="M153" s="76" t="n">
        <v>46205</v>
      </c>
      <c r="N153" s="79" t="n">
        <v>-10</v>
      </c>
      <c r="O153" s="75" t="s">
        <v>95</v>
      </c>
      <c r="P153" s="77"/>
    </row>
    <row r="154" customFormat="false" ht="15" hidden="false" customHeight="true" outlineLevel="0" collapsed="false">
      <c r="A154" s="70" t="s">
        <v>590</v>
      </c>
      <c r="B154" s="71" t="n">
        <v>45711</v>
      </c>
      <c r="C154" s="72" t="s">
        <v>591</v>
      </c>
      <c r="D154" s="70" t="s">
        <v>592</v>
      </c>
      <c r="E154" s="70" t="s">
        <v>89</v>
      </c>
      <c r="F154" s="73" t="n">
        <v>16300000</v>
      </c>
      <c r="G154" s="72" t="s">
        <v>130</v>
      </c>
      <c r="H154" s="70" t="s">
        <v>101</v>
      </c>
      <c r="I154" s="70" t="s">
        <v>160</v>
      </c>
      <c r="J154" s="72" t="s">
        <v>178</v>
      </c>
      <c r="K154" s="70" t="s">
        <v>120</v>
      </c>
      <c r="L154" s="71" t="n">
        <v>45716</v>
      </c>
      <c r="M154" s="71" t="n">
        <v>46199</v>
      </c>
      <c r="N154" s="74" t="n">
        <v>-4</v>
      </c>
      <c r="O154" s="70" t="s">
        <v>95</v>
      </c>
      <c r="P154" s="72"/>
    </row>
    <row r="155" customFormat="false" ht="15" hidden="false" customHeight="true" outlineLevel="0" collapsed="false">
      <c r="A155" s="75" t="s">
        <v>593</v>
      </c>
      <c r="B155" s="76" t="n">
        <v>45537</v>
      </c>
      <c r="C155" s="77" t="s">
        <v>594</v>
      </c>
      <c r="D155" s="75" t="s">
        <v>595</v>
      </c>
      <c r="E155" s="75" t="s">
        <v>117</v>
      </c>
      <c r="F155" s="78" t="n">
        <v>15700000</v>
      </c>
      <c r="G155" s="77" t="s">
        <v>195</v>
      </c>
      <c r="H155" s="75" t="s">
        <v>174</v>
      </c>
      <c r="I155" s="75" t="s">
        <v>85</v>
      </c>
      <c r="J155" s="77" t="s">
        <v>103</v>
      </c>
      <c r="K155" s="75" t="s">
        <v>104</v>
      </c>
      <c r="L155" s="76" t="n">
        <v>45541</v>
      </c>
      <c r="M155" s="76" t="n">
        <v>46194</v>
      </c>
      <c r="N155" s="79" t="n">
        <v>1</v>
      </c>
      <c r="O155" s="75" t="s">
        <v>113</v>
      </c>
      <c r="P155" s="77" t="s">
        <v>187</v>
      </c>
    </row>
    <row r="156" customFormat="false" ht="15" hidden="false" customHeight="true" outlineLevel="0" collapsed="false">
      <c r="A156" s="70" t="s">
        <v>596</v>
      </c>
      <c r="B156" s="71" t="n">
        <v>45456</v>
      </c>
      <c r="C156" s="72" t="s">
        <v>597</v>
      </c>
      <c r="D156" s="70" t="s">
        <v>598</v>
      </c>
      <c r="E156" s="70" t="s">
        <v>129</v>
      </c>
      <c r="F156" s="73" t="n">
        <v>14000000</v>
      </c>
      <c r="G156" s="72" t="s">
        <v>166</v>
      </c>
      <c r="H156" s="70" t="s">
        <v>174</v>
      </c>
      <c r="I156" s="70" t="s">
        <v>119</v>
      </c>
      <c r="J156" s="72" t="s">
        <v>124</v>
      </c>
      <c r="K156" s="70" t="s">
        <v>104</v>
      </c>
      <c r="L156" s="71" t="n">
        <v>45459</v>
      </c>
      <c r="M156" s="71" t="n">
        <v>46209</v>
      </c>
      <c r="N156" s="74" t="n">
        <v>-14</v>
      </c>
      <c r="O156" s="70" t="s">
        <v>95</v>
      </c>
      <c r="P156" s="72"/>
    </row>
    <row r="157" customFormat="false" ht="15" hidden="false" customHeight="true" outlineLevel="0" collapsed="false">
      <c r="A157" s="75" t="s">
        <v>599</v>
      </c>
      <c r="B157" s="76" t="n">
        <v>45509</v>
      </c>
      <c r="C157" s="77" t="s">
        <v>600</v>
      </c>
      <c r="D157" s="75" t="s">
        <v>601</v>
      </c>
      <c r="E157" s="75" t="s">
        <v>165</v>
      </c>
      <c r="F157" s="78" t="n">
        <v>11500000</v>
      </c>
      <c r="G157" s="77" t="s">
        <v>159</v>
      </c>
      <c r="H157" s="75" t="s">
        <v>131</v>
      </c>
      <c r="I157" s="75" t="s">
        <v>119</v>
      </c>
      <c r="J157" s="77" t="s">
        <v>93</v>
      </c>
      <c r="K157" s="75" t="s">
        <v>104</v>
      </c>
      <c r="L157" s="76" t="n">
        <v>45511</v>
      </c>
      <c r="M157" s="76" t="n">
        <v>46190</v>
      </c>
      <c r="N157" s="79" t="n">
        <v>5</v>
      </c>
      <c r="O157" s="75" t="s">
        <v>113</v>
      </c>
      <c r="P157" s="77"/>
    </row>
    <row r="158" customFormat="false" ht="15" hidden="false" customHeight="true" outlineLevel="0" collapsed="false">
      <c r="A158" s="70" t="s">
        <v>602</v>
      </c>
      <c r="B158" s="71" t="n">
        <v>45464</v>
      </c>
      <c r="C158" s="72" t="s">
        <v>603</v>
      </c>
      <c r="D158" s="70" t="s">
        <v>604</v>
      </c>
      <c r="E158" s="70" t="s">
        <v>136</v>
      </c>
      <c r="F158" s="73" t="n">
        <v>7900000</v>
      </c>
      <c r="G158" s="72" t="s">
        <v>100</v>
      </c>
      <c r="H158" s="70" t="s">
        <v>91</v>
      </c>
      <c r="I158" s="70" t="s">
        <v>137</v>
      </c>
      <c r="J158" s="72" t="s">
        <v>209</v>
      </c>
      <c r="K158" s="70" t="s">
        <v>104</v>
      </c>
      <c r="L158" s="71" t="n">
        <v>45468</v>
      </c>
      <c r="M158" s="71" t="n">
        <v>46203</v>
      </c>
      <c r="N158" s="74" t="n">
        <v>-8</v>
      </c>
      <c r="O158" s="70" t="s">
        <v>95</v>
      </c>
      <c r="P158" s="72"/>
    </row>
    <row r="159" customFormat="false" ht="15" hidden="false" customHeight="true" outlineLevel="0" collapsed="false">
      <c r="A159" s="75" t="s">
        <v>605</v>
      </c>
      <c r="B159" s="76" t="n">
        <v>45563</v>
      </c>
      <c r="C159" s="77" t="s">
        <v>606</v>
      </c>
      <c r="D159" s="75" t="s">
        <v>607</v>
      </c>
      <c r="E159" s="75" t="s">
        <v>108</v>
      </c>
      <c r="F159" s="78" t="n">
        <v>14100000</v>
      </c>
      <c r="G159" s="77" t="s">
        <v>159</v>
      </c>
      <c r="H159" s="75" t="s">
        <v>174</v>
      </c>
      <c r="I159" s="75" t="s">
        <v>119</v>
      </c>
      <c r="J159" s="77" t="s">
        <v>124</v>
      </c>
      <c r="K159" s="75" t="s">
        <v>104</v>
      </c>
      <c r="L159" s="76" t="n">
        <v>45564</v>
      </c>
      <c r="M159" s="76" t="n">
        <v>46188</v>
      </c>
      <c r="N159" s="79" t="n">
        <v>7</v>
      </c>
      <c r="O159" s="75" t="s">
        <v>113</v>
      </c>
      <c r="P159" s="77"/>
    </row>
    <row r="160" customFormat="false" ht="15" hidden="false" customHeight="true" outlineLevel="0" collapsed="false">
      <c r="A160" s="70" t="s">
        <v>608</v>
      </c>
      <c r="B160" s="71" t="n">
        <v>45589</v>
      </c>
      <c r="C160" s="72" t="s">
        <v>609</v>
      </c>
      <c r="D160" s="70" t="s">
        <v>610</v>
      </c>
      <c r="E160" s="70" t="s">
        <v>239</v>
      </c>
      <c r="F160" s="73" t="n">
        <v>5400000</v>
      </c>
      <c r="G160" s="72" t="s">
        <v>195</v>
      </c>
      <c r="H160" s="70" t="s">
        <v>118</v>
      </c>
      <c r="I160" s="70" t="s">
        <v>92</v>
      </c>
      <c r="J160" s="72" t="s">
        <v>112</v>
      </c>
      <c r="K160" s="70" t="s">
        <v>125</v>
      </c>
      <c r="L160" s="71" t="n">
        <v>45592</v>
      </c>
      <c r="M160" s="71" t="n">
        <v>45593</v>
      </c>
      <c r="N160" s="74" t="n">
        <v>602</v>
      </c>
      <c r="O160" s="70" t="s">
        <v>113</v>
      </c>
      <c r="P160" s="72"/>
    </row>
    <row r="161" customFormat="false" ht="15" hidden="false" customHeight="true" outlineLevel="0" collapsed="false">
      <c r="A161" s="75" t="s">
        <v>611</v>
      </c>
      <c r="B161" s="76" t="n">
        <v>45664</v>
      </c>
      <c r="C161" s="77" t="s">
        <v>612</v>
      </c>
      <c r="D161" s="75" t="s">
        <v>613</v>
      </c>
      <c r="E161" s="75" t="s">
        <v>99</v>
      </c>
      <c r="F161" s="78" t="n">
        <v>18400000</v>
      </c>
      <c r="G161" s="77" t="s">
        <v>130</v>
      </c>
      <c r="H161" s="75" t="s">
        <v>101</v>
      </c>
      <c r="I161" s="75" t="s">
        <v>102</v>
      </c>
      <c r="J161" s="77" t="s">
        <v>191</v>
      </c>
      <c r="K161" s="75" t="s">
        <v>161</v>
      </c>
      <c r="L161" s="76" t="n">
        <v>45667</v>
      </c>
      <c r="M161" s="76" t="n">
        <v>46206</v>
      </c>
      <c r="N161" s="79" t="n">
        <v>-11</v>
      </c>
      <c r="O161" s="75" t="s">
        <v>95</v>
      </c>
      <c r="P161" s="77"/>
    </row>
    <row r="162" customFormat="false" ht="15" hidden="false" customHeight="true" outlineLevel="0" collapsed="false">
      <c r="A162" s="70" t="s">
        <v>614</v>
      </c>
      <c r="B162" s="71" t="n">
        <v>45484</v>
      </c>
      <c r="C162" s="72" t="s">
        <v>615</v>
      </c>
      <c r="D162" s="70" t="s">
        <v>616</v>
      </c>
      <c r="E162" s="70" t="s">
        <v>141</v>
      </c>
      <c r="F162" s="73" t="n">
        <v>12300000</v>
      </c>
      <c r="G162" s="72" t="s">
        <v>186</v>
      </c>
      <c r="H162" s="70" t="s">
        <v>131</v>
      </c>
      <c r="I162" s="70" t="s">
        <v>137</v>
      </c>
      <c r="J162" s="72" t="s">
        <v>209</v>
      </c>
      <c r="K162" s="70" t="s">
        <v>125</v>
      </c>
      <c r="L162" s="71" t="n">
        <v>45489</v>
      </c>
      <c r="M162" s="71" t="n">
        <v>45494</v>
      </c>
      <c r="N162" s="74" t="n">
        <v>701</v>
      </c>
      <c r="O162" s="70" t="s">
        <v>113</v>
      </c>
      <c r="P162" s="72"/>
    </row>
    <row r="163" customFormat="false" ht="15" hidden="false" customHeight="true" outlineLevel="0" collapsed="false">
      <c r="A163" s="75" t="s">
        <v>617</v>
      </c>
      <c r="B163" s="76" t="n">
        <v>45459</v>
      </c>
      <c r="C163" s="77" t="s">
        <v>618</v>
      </c>
      <c r="D163" s="75" t="s">
        <v>619</v>
      </c>
      <c r="E163" s="75" t="s">
        <v>108</v>
      </c>
      <c r="F163" s="78" t="n">
        <v>27600000</v>
      </c>
      <c r="G163" s="77" t="s">
        <v>109</v>
      </c>
      <c r="H163" s="75" t="s">
        <v>110</v>
      </c>
      <c r="I163" s="75" t="s">
        <v>160</v>
      </c>
      <c r="J163" s="77" t="s">
        <v>142</v>
      </c>
      <c r="K163" s="75" t="s">
        <v>161</v>
      </c>
      <c r="L163" s="76" t="n">
        <v>45464</v>
      </c>
      <c r="M163" s="76" t="n">
        <v>46203</v>
      </c>
      <c r="N163" s="79" t="n">
        <v>-8</v>
      </c>
      <c r="O163" s="75" t="s">
        <v>95</v>
      </c>
      <c r="P163" s="77"/>
    </row>
    <row r="164" customFormat="false" ht="15" hidden="false" customHeight="true" outlineLevel="0" collapsed="false">
      <c r="A164" s="70" t="s">
        <v>620</v>
      </c>
      <c r="B164" s="71" t="n">
        <v>45643</v>
      </c>
      <c r="C164" s="72" t="s">
        <v>621</v>
      </c>
      <c r="D164" s="70" t="s">
        <v>622</v>
      </c>
      <c r="E164" s="70" t="s">
        <v>129</v>
      </c>
      <c r="F164" s="73" t="n">
        <v>18500000</v>
      </c>
      <c r="G164" s="72" t="s">
        <v>186</v>
      </c>
      <c r="H164" s="70" t="s">
        <v>101</v>
      </c>
      <c r="I164" s="70" t="s">
        <v>137</v>
      </c>
      <c r="J164" s="72" t="s">
        <v>209</v>
      </c>
      <c r="K164" s="70" t="s">
        <v>161</v>
      </c>
      <c r="L164" s="71" t="n">
        <v>45648</v>
      </c>
      <c r="M164" s="71" t="n">
        <v>46202</v>
      </c>
      <c r="N164" s="74" t="n">
        <v>-7</v>
      </c>
      <c r="O164" s="70" t="s">
        <v>95</v>
      </c>
      <c r="P164" s="72"/>
    </row>
    <row r="165" customFormat="false" ht="15" hidden="false" customHeight="true" outlineLevel="0" collapsed="false">
      <c r="A165" s="75" t="s">
        <v>623</v>
      </c>
      <c r="B165" s="76" t="n">
        <v>45705</v>
      </c>
      <c r="C165" s="77" t="s">
        <v>624</v>
      </c>
      <c r="D165" s="75" t="s">
        <v>625</v>
      </c>
      <c r="E165" s="75" t="s">
        <v>108</v>
      </c>
      <c r="F165" s="78" t="n">
        <v>10400000</v>
      </c>
      <c r="G165" s="77" t="s">
        <v>130</v>
      </c>
      <c r="H165" s="75" t="s">
        <v>131</v>
      </c>
      <c r="I165" s="75" t="s">
        <v>119</v>
      </c>
      <c r="J165" s="77" t="s">
        <v>148</v>
      </c>
      <c r="K165" s="75" t="s">
        <v>104</v>
      </c>
      <c r="L165" s="76" t="n">
        <v>45706</v>
      </c>
      <c r="M165" s="76" t="n">
        <v>46206</v>
      </c>
      <c r="N165" s="79" t="n">
        <v>-11</v>
      </c>
      <c r="O165" s="75" t="s">
        <v>95</v>
      </c>
      <c r="P165" s="77"/>
    </row>
    <row r="166" customFormat="false" ht="15" hidden="false" customHeight="true" outlineLevel="0" collapsed="false">
      <c r="A166" s="70" t="s">
        <v>626</v>
      </c>
      <c r="B166" s="71" t="n">
        <v>45700</v>
      </c>
      <c r="C166" s="72" t="s">
        <v>627</v>
      </c>
      <c r="D166" s="70" t="s">
        <v>628</v>
      </c>
      <c r="E166" s="70" t="s">
        <v>99</v>
      </c>
      <c r="F166" s="73" t="n">
        <v>20000000</v>
      </c>
      <c r="G166" s="72" t="s">
        <v>195</v>
      </c>
      <c r="H166" s="70" t="s">
        <v>101</v>
      </c>
      <c r="I166" s="70" t="s">
        <v>92</v>
      </c>
      <c r="J166" s="72" t="s">
        <v>103</v>
      </c>
      <c r="K166" s="70" t="s">
        <v>94</v>
      </c>
      <c r="L166" s="71" t="n">
        <v>45704</v>
      </c>
      <c r="M166" s="71" t="n">
        <v>46191</v>
      </c>
      <c r="N166" s="74" t="n">
        <v>4</v>
      </c>
      <c r="O166" s="70" t="s">
        <v>113</v>
      </c>
      <c r="P166" s="72"/>
    </row>
    <row r="167" customFormat="false" ht="15" hidden="false" customHeight="true" outlineLevel="0" collapsed="false">
      <c r="A167" s="75" t="s">
        <v>629</v>
      </c>
      <c r="B167" s="76" t="n">
        <v>45594</v>
      </c>
      <c r="C167" s="77" t="s">
        <v>630</v>
      </c>
      <c r="D167" s="75" t="s">
        <v>631</v>
      </c>
      <c r="E167" s="75" t="s">
        <v>117</v>
      </c>
      <c r="F167" s="78" t="n">
        <v>6600000</v>
      </c>
      <c r="G167" s="77" t="s">
        <v>159</v>
      </c>
      <c r="H167" s="75" t="s">
        <v>91</v>
      </c>
      <c r="I167" s="75" t="s">
        <v>119</v>
      </c>
      <c r="J167" s="77" t="s">
        <v>209</v>
      </c>
      <c r="K167" s="75" t="s">
        <v>143</v>
      </c>
      <c r="L167" s="76" t="n">
        <v>45596</v>
      </c>
      <c r="M167" s="76" t="n">
        <v>46200</v>
      </c>
      <c r="N167" s="79" t="n">
        <v>-5</v>
      </c>
      <c r="O167" s="75" t="s">
        <v>95</v>
      </c>
      <c r="P167" s="77"/>
    </row>
    <row r="168" customFormat="false" ht="15" hidden="false" customHeight="true" outlineLevel="0" collapsed="false">
      <c r="A168" s="70" t="s">
        <v>632</v>
      </c>
      <c r="B168" s="71" t="n">
        <v>45627</v>
      </c>
      <c r="C168" s="72" t="s">
        <v>633</v>
      </c>
      <c r="D168" s="70" t="s">
        <v>634</v>
      </c>
      <c r="E168" s="70" t="s">
        <v>89</v>
      </c>
      <c r="F168" s="73" t="n">
        <v>17700000</v>
      </c>
      <c r="G168" s="72" t="s">
        <v>109</v>
      </c>
      <c r="H168" s="70" t="s">
        <v>101</v>
      </c>
      <c r="I168" s="70" t="s">
        <v>137</v>
      </c>
      <c r="J168" s="72" t="s">
        <v>209</v>
      </c>
      <c r="K168" s="70" t="s">
        <v>205</v>
      </c>
      <c r="L168" s="71" t="n">
        <v>45632</v>
      </c>
      <c r="M168" s="71" t="n">
        <v>45636</v>
      </c>
      <c r="N168" s="74" t="n">
        <v>559</v>
      </c>
      <c r="O168" s="70" t="s">
        <v>113</v>
      </c>
      <c r="P168" s="72"/>
    </row>
    <row r="169" customFormat="false" ht="15" hidden="false" customHeight="true" outlineLevel="0" collapsed="false">
      <c r="A169" s="75" t="s">
        <v>635</v>
      </c>
      <c r="B169" s="76" t="n">
        <v>45481</v>
      </c>
      <c r="C169" s="77" t="s">
        <v>636</v>
      </c>
      <c r="D169" s="75" t="s">
        <v>637</v>
      </c>
      <c r="E169" s="75" t="s">
        <v>165</v>
      </c>
      <c r="F169" s="78" t="n">
        <v>35000000</v>
      </c>
      <c r="G169" s="77" t="s">
        <v>130</v>
      </c>
      <c r="H169" s="75" t="s">
        <v>110</v>
      </c>
      <c r="I169" s="75" t="s">
        <v>160</v>
      </c>
      <c r="J169" s="77" t="s">
        <v>112</v>
      </c>
      <c r="K169" s="75" t="s">
        <v>161</v>
      </c>
      <c r="L169" s="76" t="n">
        <v>45483</v>
      </c>
      <c r="M169" s="76" t="n">
        <v>46195</v>
      </c>
      <c r="N169" s="79" t="n">
        <v>0</v>
      </c>
      <c r="O169" s="75" t="s">
        <v>551</v>
      </c>
      <c r="P169" s="77"/>
    </row>
    <row r="170" customFormat="false" ht="15" hidden="false" customHeight="true" outlineLevel="0" collapsed="false">
      <c r="A170" s="70" t="s">
        <v>638</v>
      </c>
      <c r="B170" s="71" t="n">
        <v>45669</v>
      </c>
      <c r="C170" s="72" t="s">
        <v>639</v>
      </c>
      <c r="D170" s="70" t="s">
        <v>640</v>
      </c>
      <c r="E170" s="70" t="s">
        <v>239</v>
      </c>
      <c r="F170" s="73" t="n">
        <v>33800000</v>
      </c>
      <c r="G170" s="72" t="s">
        <v>100</v>
      </c>
      <c r="H170" s="70" t="s">
        <v>110</v>
      </c>
      <c r="I170" s="70" t="s">
        <v>119</v>
      </c>
      <c r="J170" s="72" t="s">
        <v>209</v>
      </c>
      <c r="K170" s="70" t="s">
        <v>161</v>
      </c>
      <c r="L170" s="71" t="n">
        <v>45672</v>
      </c>
      <c r="M170" s="71" t="n">
        <v>46196</v>
      </c>
      <c r="N170" s="74" t="n">
        <v>-1</v>
      </c>
      <c r="O170" s="70" t="s">
        <v>95</v>
      </c>
      <c r="P170" s="72"/>
    </row>
    <row r="171" customFormat="false" ht="15" hidden="false" customHeight="true" outlineLevel="0" collapsed="false">
      <c r="A171" s="75" t="s">
        <v>641</v>
      </c>
      <c r="B171" s="76" t="n">
        <v>45423</v>
      </c>
      <c r="C171" s="77" t="s">
        <v>642</v>
      </c>
      <c r="D171" s="75" t="s">
        <v>643</v>
      </c>
      <c r="E171" s="75" t="s">
        <v>136</v>
      </c>
      <c r="F171" s="78" t="n">
        <v>7700000</v>
      </c>
      <c r="G171" s="77" t="s">
        <v>130</v>
      </c>
      <c r="H171" s="75" t="s">
        <v>91</v>
      </c>
      <c r="I171" s="75" t="s">
        <v>102</v>
      </c>
      <c r="J171" s="77" t="s">
        <v>112</v>
      </c>
      <c r="K171" s="75" t="s">
        <v>205</v>
      </c>
      <c r="L171" s="76" t="n">
        <v>45426</v>
      </c>
      <c r="M171" s="76" t="n">
        <v>45430</v>
      </c>
      <c r="N171" s="79" t="n">
        <v>765</v>
      </c>
      <c r="O171" s="75" t="s">
        <v>113</v>
      </c>
      <c r="P171" s="77"/>
    </row>
    <row r="172" customFormat="false" ht="15" hidden="false" customHeight="true" outlineLevel="0" collapsed="false">
      <c r="A172" s="70" t="s">
        <v>644</v>
      </c>
      <c r="B172" s="71" t="n">
        <v>45683</v>
      </c>
      <c r="C172" s="72" t="s">
        <v>645</v>
      </c>
      <c r="D172" s="70" t="s">
        <v>646</v>
      </c>
      <c r="E172" s="70" t="s">
        <v>99</v>
      </c>
      <c r="F172" s="73" t="n">
        <v>21800000</v>
      </c>
      <c r="G172" s="72" t="s">
        <v>90</v>
      </c>
      <c r="H172" s="70" t="s">
        <v>101</v>
      </c>
      <c r="I172" s="70" t="s">
        <v>111</v>
      </c>
      <c r="J172" s="72" t="s">
        <v>170</v>
      </c>
      <c r="K172" s="70" t="s">
        <v>120</v>
      </c>
      <c r="L172" s="71" t="n">
        <v>45685</v>
      </c>
      <c r="M172" s="71" t="n">
        <v>46198</v>
      </c>
      <c r="N172" s="74" t="n">
        <v>-3</v>
      </c>
      <c r="O172" s="70" t="s">
        <v>95</v>
      </c>
      <c r="P172" s="72"/>
    </row>
    <row r="173" customFormat="false" ht="15" hidden="false" customHeight="true" outlineLevel="0" collapsed="false">
      <c r="A173" s="75" t="s">
        <v>647</v>
      </c>
      <c r="B173" s="76" t="n">
        <v>45434</v>
      </c>
      <c r="C173" s="77" t="s">
        <v>648</v>
      </c>
      <c r="D173" s="75" t="s">
        <v>649</v>
      </c>
      <c r="E173" s="75" t="s">
        <v>155</v>
      </c>
      <c r="F173" s="78" t="n">
        <v>4700000</v>
      </c>
      <c r="G173" s="77" t="s">
        <v>100</v>
      </c>
      <c r="H173" s="75" t="s">
        <v>118</v>
      </c>
      <c r="I173" s="75" t="s">
        <v>119</v>
      </c>
      <c r="J173" s="77" t="s">
        <v>209</v>
      </c>
      <c r="K173" s="75" t="s">
        <v>94</v>
      </c>
      <c r="L173" s="76" t="n">
        <v>45436</v>
      </c>
      <c r="M173" s="76" t="n">
        <v>46187</v>
      </c>
      <c r="N173" s="79" t="n">
        <v>8</v>
      </c>
      <c r="O173" s="75" t="s">
        <v>113</v>
      </c>
      <c r="P173" s="77"/>
    </row>
    <row r="174" customFormat="false" ht="15" hidden="false" customHeight="true" outlineLevel="0" collapsed="false">
      <c r="A174" s="70" t="s">
        <v>650</v>
      </c>
      <c r="B174" s="71" t="n">
        <v>45428</v>
      </c>
      <c r="C174" s="72" t="s">
        <v>651</v>
      </c>
      <c r="D174" s="70" t="s">
        <v>652</v>
      </c>
      <c r="E174" s="70" t="s">
        <v>214</v>
      </c>
      <c r="F174" s="73" t="n">
        <v>12200000</v>
      </c>
      <c r="G174" s="72" t="s">
        <v>100</v>
      </c>
      <c r="H174" s="70" t="s">
        <v>131</v>
      </c>
      <c r="I174" s="70" t="s">
        <v>111</v>
      </c>
      <c r="J174" s="72" t="s">
        <v>178</v>
      </c>
      <c r="K174" s="70" t="s">
        <v>205</v>
      </c>
      <c r="L174" s="71" t="n">
        <v>45433</v>
      </c>
      <c r="M174" s="71" t="n">
        <v>45435</v>
      </c>
      <c r="N174" s="74" t="n">
        <v>760</v>
      </c>
      <c r="O174" s="70" t="s">
        <v>113</v>
      </c>
      <c r="P174" s="72"/>
    </row>
    <row r="175" customFormat="false" ht="15" hidden="false" customHeight="true" outlineLevel="0" collapsed="false">
      <c r="A175" s="75" t="s">
        <v>653</v>
      </c>
      <c r="B175" s="76" t="n">
        <v>45531</v>
      </c>
      <c r="C175" s="77" t="s">
        <v>231</v>
      </c>
      <c r="D175" s="75" t="s">
        <v>654</v>
      </c>
      <c r="E175" s="75" t="s">
        <v>129</v>
      </c>
      <c r="F175" s="78" t="n">
        <v>15300000</v>
      </c>
      <c r="G175" s="77" t="s">
        <v>195</v>
      </c>
      <c r="H175" s="75" t="s">
        <v>174</v>
      </c>
      <c r="I175" s="75" t="s">
        <v>119</v>
      </c>
      <c r="J175" s="77" t="s">
        <v>170</v>
      </c>
      <c r="K175" s="75" t="s">
        <v>205</v>
      </c>
      <c r="L175" s="76" t="n">
        <v>45532</v>
      </c>
      <c r="M175" s="76" t="n">
        <v>45533</v>
      </c>
      <c r="N175" s="79" t="n">
        <v>662</v>
      </c>
      <c r="O175" s="75" t="s">
        <v>113</v>
      </c>
      <c r="P175" s="77"/>
    </row>
    <row r="176" customFormat="false" ht="15" hidden="false" customHeight="true" outlineLevel="0" collapsed="false">
      <c r="A176" s="70" t="s">
        <v>655</v>
      </c>
      <c r="B176" s="71" t="n">
        <v>45451</v>
      </c>
      <c r="C176" s="72" t="s">
        <v>656</v>
      </c>
      <c r="D176" s="70" t="s">
        <v>657</v>
      </c>
      <c r="E176" s="70" t="s">
        <v>165</v>
      </c>
      <c r="F176" s="73" t="n">
        <v>14700000</v>
      </c>
      <c r="G176" s="72" t="s">
        <v>90</v>
      </c>
      <c r="H176" s="70" t="s">
        <v>174</v>
      </c>
      <c r="I176" s="70" t="s">
        <v>137</v>
      </c>
      <c r="J176" s="72" t="s">
        <v>103</v>
      </c>
      <c r="K176" s="70" t="s">
        <v>161</v>
      </c>
      <c r="L176" s="71" t="n">
        <v>45456</v>
      </c>
      <c r="M176" s="71" t="n">
        <v>46201</v>
      </c>
      <c r="N176" s="74" t="n">
        <v>-6</v>
      </c>
      <c r="O176" s="70" t="s">
        <v>95</v>
      </c>
      <c r="P176" s="72"/>
    </row>
    <row r="177" customFormat="false" ht="15" hidden="false" customHeight="true" outlineLevel="0" collapsed="false">
      <c r="A177" s="75" t="s">
        <v>658</v>
      </c>
      <c r="B177" s="76" t="n">
        <v>45555</v>
      </c>
      <c r="C177" s="77" t="s">
        <v>659</v>
      </c>
      <c r="D177" s="75" t="s">
        <v>660</v>
      </c>
      <c r="E177" s="75" t="s">
        <v>129</v>
      </c>
      <c r="F177" s="78" t="n">
        <v>26300000</v>
      </c>
      <c r="G177" s="77" t="s">
        <v>166</v>
      </c>
      <c r="H177" s="75" t="s">
        <v>110</v>
      </c>
      <c r="I177" s="75" t="s">
        <v>85</v>
      </c>
      <c r="J177" s="77" t="s">
        <v>170</v>
      </c>
      <c r="K177" s="75" t="s">
        <v>120</v>
      </c>
      <c r="L177" s="76" t="n">
        <v>45558</v>
      </c>
      <c r="M177" s="76" t="n">
        <v>46195</v>
      </c>
      <c r="N177" s="79" t="n">
        <v>0</v>
      </c>
      <c r="O177" s="75" t="s">
        <v>551</v>
      </c>
      <c r="P177" s="77" t="s">
        <v>132</v>
      </c>
    </row>
    <row r="178" customFormat="false" ht="15" hidden="false" customHeight="true" outlineLevel="0" collapsed="false">
      <c r="A178" s="70" t="s">
        <v>661</v>
      </c>
      <c r="B178" s="71" t="n">
        <v>45454</v>
      </c>
      <c r="C178" s="72" t="s">
        <v>662</v>
      </c>
      <c r="D178" s="70" t="s">
        <v>663</v>
      </c>
      <c r="E178" s="70" t="s">
        <v>147</v>
      </c>
      <c r="F178" s="73" t="n">
        <v>5300000</v>
      </c>
      <c r="G178" s="72" t="s">
        <v>130</v>
      </c>
      <c r="H178" s="70" t="s">
        <v>118</v>
      </c>
      <c r="I178" s="70" t="s">
        <v>85</v>
      </c>
      <c r="J178" s="72" t="s">
        <v>93</v>
      </c>
      <c r="K178" s="70" t="s">
        <v>104</v>
      </c>
      <c r="L178" s="71" t="n">
        <v>45458</v>
      </c>
      <c r="M178" s="71" t="n">
        <v>46197</v>
      </c>
      <c r="N178" s="74" t="n">
        <v>-2</v>
      </c>
      <c r="O178" s="70" t="s">
        <v>95</v>
      </c>
      <c r="P178" s="72" t="s">
        <v>179</v>
      </c>
    </row>
    <row r="179" customFormat="false" ht="15" hidden="false" customHeight="true" outlineLevel="0" collapsed="false">
      <c r="A179" s="75" t="s">
        <v>664</v>
      </c>
      <c r="B179" s="76" t="n">
        <v>45717</v>
      </c>
      <c r="C179" s="77" t="s">
        <v>665</v>
      </c>
      <c r="D179" s="75" t="s">
        <v>666</v>
      </c>
      <c r="E179" s="75" t="s">
        <v>214</v>
      </c>
      <c r="F179" s="78" t="n">
        <v>12000000</v>
      </c>
      <c r="G179" s="77" t="s">
        <v>90</v>
      </c>
      <c r="H179" s="75" t="s">
        <v>131</v>
      </c>
      <c r="I179" s="75" t="s">
        <v>137</v>
      </c>
      <c r="J179" s="77" t="s">
        <v>148</v>
      </c>
      <c r="K179" s="75" t="s">
        <v>120</v>
      </c>
      <c r="L179" s="76" t="n">
        <v>45720</v>
      </c>
      <c r="M179" s="76" t="n">
        <v>46198</v>
      </c>
      <c r="N179" s="79" t="n">
        <v>-3</v>
      </c>
      <c r="O179" s="75" t="s">
        <v>95</v>
      </c>
      <c r="P179" s="77"/>
    </row>
    <row r="180" customFormat="false" ht="15" hidden="false" customHeight="true" outlineLevel="0" collapsed="false">
      <c r="A180" s="70" t="s">
        <v>667</v>
      </c>
      <c r="B180" s="71" t="n">
        <v>45710</v>
      </c>
      <c r="C180" s="72" t="s">
        <v>668</v>
      </c>
      <c r="D180" s="70" t="s">
        <v>669</v>
      </c>
      <c r="E180" s="70" t="s">
        <v>239</v>
      </c>
      <c r="F180" s="73" t="n">
        <v>14900000</v>
      </c>
      <c r="G180" s="72" t="s">
        <v>109</v>
      </c>
      <c r="H180" s="70" t="s">
        <v>174</v>
      </c>
      <c r="I180" s="70" t="s">
        <v>137</v>
      </c>
      <c r="J180" s="72" t="s">
        <v>112</v>
      </c>
      <c r="K180" s="70" t="s">
        <v>94</v>
      </c>
      <c r="L180" s="71" t="n">
        <v>45713</v>
      </c>
      <c r="M180" s="71" t="n">
        <v>46198</v>
      </c>
      <c r="N180" s="74" t="n">
        <v>-3</v>
      </c>
      <c r="O180" s="70" t="s">
        <v>95</v>
      </c>
      <c r="P180" s="72"/>
    </row>
    <row r="181" customFormat="false" ht="15" hidden="false" customHeight="true" outlineLevel="0" collapsed="false">
      <c r="A181" s="75" t="s">
        <v>670</v>
      </c>
      <c r="B181" s="76" t="n">
        <v>45664</v>
      </c>
      <c r="C181" s="77" t="s">
        <v>671</v>
      </c>
      <c r="D181" s="75" t="s">
        <v>672</v>
      </c>
      <c r="E181" s="75" t="s">
        <v>214</v>
      </c>
      <c r="F181" s="78" t="n">
        <v>15100000</v>
      </c>
      <c r="G181" s="77" t="s">
        <v>109</v>
      </c>
      <c r="H181" s="75" t="s">
        <v>174</v>
      </c>
      <c r="I181" s="75" t="s">
        <v>137</v>
      </c>
      <c r="J181" s="77" t="s">
        <v>209</v>
      </c>
      <c r="K181" s="75" t="s">
        <v>143</v>
      </c>
      <c r="L181" s="76" t="n">
        <v>45668</v>
      </c>
      <c r="M181" s="76" t="n">
        <v>46204</v>
      </c>
      <c r="N181" s="79" t="n">
        <v>-9</v>
      </c>
      <c r="O181" s="75" t="s">
        <v>95</v>
      </c>
      <c r="P181" s="77"/>
    </row>
    <row r="182" customFormat="false" ht="15" hidden="false" customHeight="true" outlineLevel="0" collapsed="false">
      <c r="A182" s="70" t="s">
        <v>673</v>
      </c>
      <c r="B182" s="71" t="n">
        <v>45671</v>
      </c>
      <c r="C182" s="72" t="s">
        <v>674</v>
      </c>
      <c r="D182" s="70" t="s">
        <v>675</v>
      </c>
      <c r="E182" s="70" t="s">
        <v>155</v>
      </c>
      <c r="F182" s="73" t="n">
        <v>19700000</v>
      </c>
      <c r="G182" s="72" t="s">
        <v>159</v>
      </c>
      <c r="H182" s="70" t="s">
        <v>101</v>
      </c>
      <c r="I182" s="70" t="s">
        <v>137</v>
      </c>
      <c r="J182" s="72" t="s">
        <v>209</v>
      </c>
      <c r="K182" s="70" t="s">
        <v>120</v>
      </c>
      <c r="L182" s="71" t="n">
        <v>45672</v>
      </c>
      <c r="M182" s="71" t="n">
        <v>46186</v>
      </c>
      <c r="N182" s="74" t="n">
        <v>9</v>
      </c>
      <c r="O182" s="70" t="s">
        <v>113</v>
      </c>
      <c r="P182" s="72"/>
    </row>
    <row r="183" customFormat="false" ht="15" hidden="false" customHeight="true" outlineLevel="0" collapsed="false">
      <c r="A183" s="75" t="s">
        <v>676</v>
      </c>
      <c r="B183" s="76" t="n">
        <v>45488</v>
      </c>
      <c r="C183" s="77" t="s">
        <v>677</v>
      </c>
      <c r="D183" s="75" t="s">
        <v>678</v>
      </c>
      <c r="E183" s="75" t="s">
        <v>117</v>
      </c>
      <c r="F183" s="78" t="n">
        <v>7900000</v>
      </c>
      <c r="G183" s="77" t="s">
        <v>109</v>
      </c>
      <c r="H183" s="75" t="s">
        <v>91</v>
      </c>
      <c r="I183" s="75" t="s">
        <v>160</v>
      </c>
      <c r="J183" s="77" t="s">
        <v>103</v>
      </c>
      <c r="K183" s="75" t="s">
        <v>143</v>
      </c>
      <c r="L183" s="76" t="n">
        <v>45493</v>
      </c>
      <c r="M183" s="76" t="n">
        <v>46202</v>
      </c>
      <c r="N183" s="79" t="n">
        <v>-7</v>
      </c>
      <c r="O183" s="75" t="s">
        <v>95</v>
      </c>
      <c r="P183" s="77"/>
    </row>
    <row r="184" customFormat="false" ht="15" hidden="false" customHeight="true" outlineLevel="0" collapsed="false">
      <c r="A184" s="70" t="s">
        <v>679</v>
      </c>
      <c r="B184" s="71" t="n">
        <v>45619</v>
      </c>
      <c r="C184" s="72" t="s">
        <v>680</v>
      </c>
      <c r="D184" s="70" t="s">
        <v>681</v>
      </c>
      <c r="E184" s="70" t="s">
        <v>214</v>
      </c>
      <c r="F184" s="73" t="n">
        <v>19500000</v>
      </c>
      <c r="G184" s="72" t="s">
        <v>109</v>
      </c>
      <c r="H184" s="70" t="s">
        <v>101</v>
      </c>
      <c r="I184" s="70" t="s">
        <v>119</v>
      </c>
      <c r="J184" s="72" t="s">
        <v>148</v>
      </c>
      <c r="K184" s="70" t="s">
        <v>120</v>
      </c>
      <c r="L184" s="71" t="n">
        <v>45622</v>
      </c>
      <c r="M184" s="71" t="n">
        <v>46184</v>
      </c>
      <c r="N184" s="74" t="n">
        <v>11</v>
      </c>
      <c r="O184" s="70" t="s">
        <v>113</v>
      </c>
      <c r="P184" s="72"/>
    </row>
    <row r="185" customFormat="false" ht="15" hidden="false" customHeight="true" outlineLevel="0" collapsed="false">
      <c r="A185" s="75" t="s">
        <v>682</v>
      </c>
      <c r="B185" s="76" t="n">
        <v>45413</v>
      </c>
      <c r="C185" s="77" t="s">
        <v>683</v>
      </c>
      <c r="D185" s="75" t="s">
        <v>684</v>
      </c>
      <c r="E185" s="75" t="s">
        <v>117</v>
      </c>
      <c r="F185" s="78" t="n">
        <v>5400000</v>
      </c>
      <c r="G185" s="77" t="s">
        <v>159</v>
      </c>
      <c r="H185" s="75" t="s">
        <v>118</v>
      </c>
      <c r="I185" s="75" t="s">
        <v>111</v>
      </c>
      <c r="J185" s="77" t="s">
        <v>93</v>
      </c>
      <c r="K185" s="75" t="s">
        <v>161</v>
      </c>
      <c r="L185" s="76" t="n">
        <v>45414</v>
      </c>
      <c r="M185" s="76" t="n">
        <v>46202</v>
      </c>
      <c r="N185" s="79" t="n">
        <v>-7</v>
      </c>
      <c r="O185" s="75" t="s">
        <v>95</v>
      </c>
      <c r="P185" s="77"/>
    </row>
    <row r="186" customFormat="false" ht="15" hidden="false" customHeight="true" outlineLevel="0" collapsed="false">
      <c r="A186" s="70" t="s">
        <v>685</v>
      </c>
      <c r="B186" s="71" t="n">
        <v>45721</v>
      </c>
      <c r="C186" s="72" t="s">
        <v>686</v>
      </c>
      <c r="D186" s="70" t="s">
        <v>687</v>
      </c>
      <c r="E186" s="70" t="s">
        <v>129</v>
      </c>
      <c r="F186" s="73" t="n">
        <v>12700000</v>
      </c>
      <c r="G186" s="72" t="s">
        <v>186</v>
      </c>
      <c r="H186" s="70" t="s">
        <v>131</v>
      </c>
      <c r="I186" s="70" t="s">
        <v>119</v>
      </c>
      <c r="J186" s="72" t="s">
        <v>191</v>
      </c>
      <c r="K186" s="70" t="s">
        <v>143</v>
      </c>
      <c r="L186" s="71" t="n">
        <v>45726</v>
      </c>
      <c r="M186" s="71" t="n">
        <v>46191</v>
      </c>
      <c r="N186" s="74" t="n">
        <v>4</v>
      </c>
      <c r="O186" s="70" t="s">
        <v>113</v>
      </c>
      <c r="P186" s="72"/>
    </row>
    <row r="187" customFormat="false" ht="15" hidden="false" customHeight="true" outlineLevel="0" collapsed="false">
      <c r="A187" s="75" t="s">
        <v>688</v>
      </c>
      <c r="B187" s="76" t="n">
        <v>45394</v>
      </c>
      <c r="C187" s="77" t="s">
        <v>689</v>
      </c>
      <c r="D187" s="75" t="s">
        <v>690</v>
      </c>
      <c r="E187" s="75" t="s">
        <v>147</v>
      </c>
      <c r="F187" s="78" t="n">
        <v>17100000</v>
      </c>
      <c r="G187" s="77" t="s">
        <v>186</v>
      </c>
      <c r="H187" s="75" t="s">
        <v>101</v>
      </c>
      <c r="I187" s="75" t="s">
        <v>85</v>
      </c>
      <c r="J187" s="77" t="s">
        <v>124</v>
      </c>
      <c r="K187" s="75" t="s">
        <v>125</v>
      </c>
      <c r="L187" s="76" t="n">
        <v>45397</v>
      </c>
      <c r="M187" s="76" t="n">
        <v>45401</v>
      </c>
      <c r="N187" s="79" t="n">
        <v>794</v>
      </c>
      <c r="O187" s="75" t="s">
        <v>113</v>
      </c>
      <c r="P187" s="77" t="s">
        <v>187</v>
      </c>
    </row>
    <row r="188" customFormat="false" ht="15" hidden="false" customHeight="true" outlineLevel="0" collapsed="false">
      <c r="A188" s="70" t="s">
        <v>691</v>
      </c>
      <c r="B188" s="71" t="n">
        <v>45721</v>
      </c>
      <c r="C188" s="72" t="s">
        <v>692</v>
      </c>
      <c r="D188" s="70" t="s">
        <v>693</v>
      </c>
      <c r="E188" s="70" t="s">
        <v>214</v>
      </c>
      <c r="F188" s="73" t="n">
        <v>7700000</v>
      </c>
      <c r="G188" s="72" t="s">
        <v>130</v>
      </c>
      <c r="H188" s="70" t="s">
        <v>91</v>
      </c>
      <c r="I188" s="70" t="s">
        <v>92</v>
      </c>
      <c r="J188" s="72" t="s">
        <v>93</v>
      </c>
      <c r="K188" s="70" t="s">
        <v>120</v>
      </c>
      <c r="L188" s="71" t="n">
        <v>45725</v>
      </c>
      <c r="M188" s="71" t="n">
        <v>46184</v>
      </c>
      <c r="N188" s="74" t="n">
        <v>11</v>
      </c>
      <c r="O188" s="70" t="s">
        <v>113</v>
      </c>
      <c r="P188" s="72"/>
    </row>
    <row r="189" customFormat="false" ht="15" hidden="false" customHeight="true" outlineLevel="0" collapsed="false">
      <c r="A189" s="75" t="s">
        <v>694</v>
      </c>
      <c r="B189" s="76" t="n">
        <v>45405</v>
      </c>
      <c r="C189" s="77" t="s">
        <v>695</v>
      </c>
      <c r="D189" s="75" t="s">
        <v>696</v>
      </c>
      <c r="E189" s="75" t="s">
        <v>117</v>
      </c>
      <c r="F189" s="78" t="n">
        <v>14500000</v>
      </c>
      <c r="G189" s="77" t="s">
        <v>195</v>
      </c>
      <c r="H189" s="75" t="s">
        <v>174</v>
      </c>
      <c r="I189" s="75" t="s">
        <v>85</v>
      </c>
      <c r="J189" s="77" t="s">
        <v>178</v>
      </c>
      <c r="K189" s="75" t="s">
        <v>104</v>
      </c>
      <c r="L189" s="76" t="n">
        <v>45409</v>
      </c>
      <c r="M189" s="76" t="n">
        <v>46201</v>
      </c>
      <c r="N189" s="79" t="n">
        <v>-6</v>
      </c>
      <c r="O189" s="75" t="s">
        <v>95</v>
      </c>
      <c r="P189" s="77" t="s">
        <v>179</v>
      </c>
    </row>
    <row r="190" customFormat="false" ht="15" hidden="false" customHeight="true" outlineLevel="0" collapsed="false">
      <c r="A190" s="70" t="s">
        <v>697</v>
      </c>
      <c r="B190" s="71" t="n">
        <v>45547</v>
      </c>
      <c r="C190" s="72" t="s">
        <v>698</v>
      </c>
      <c r="D190" s="70" t="s">
        <v>699</v>
      </c>
      <c r="E190" s="70" t="s">
        <v>147</v>
      </c>
      <c r="F190" s="73" t="n">
        <v>8900000</v>
      </c>
      <c r="G190" s="72" t="s">
        <v>90</v>
      </c>
      <c r="H190" s="70" t="s">
        <v>91</v>
      </c>
      <c r="I190" s="70" t="s">
        <v>111</v>
      </c>
      <c r="J190" s="72" t="s">
        <v>148</v>
      </c>
      <c r="K190" s="70" t="s">
        <v>161</v>
      </c>
      <c r="L190" s="71" t="n">
        <v>45549</v>
      </c>
      <c r="M190" s="71" t="n">
        <v>46196</v>
      </c>
      <c r="N190" s="74" t="n">
        <v>-1</v>
      </c>
      <c r="O190" s="70" t="s">
        <v>95</v>
      </c>
      <c r="P190" s="72"/>
    </row>
    <row r="191" customFormat="false" ht="15" hidden="false" customHeight="true" outlineLevel="0" collapsed="false">
      <c r="A191" s="75" t="s">
        <v>700</v>
      </c>
      <c r="B191" s="76" t="n">
        <v>45472</v>
      </c>
      <c r="C191" s="77" t="s">
        <v>648</v>
      </c>
      <c r="D191" s="75" t="s">
        <v>701</v>
      </c>
      <c r="E191" s="75" t="s">
        <v>136</v>
      </c>
      <c r="F191" s="78" t="n">
        <v>10000000</v>
      </c>
      <c r="G191" s="77" t="s">
        <v>90</v>
      </c>
      <c r="H191" s="75" t="s">
        <v>131</v>
      </c>
      <c r="I191" s="75" t="s">
        <v>137</v>
      </c>
      <c r="J191" s="77" t="s">
        <v>148</v>
      </c>
      <c r="K191" s="75" t="s">
        <v>125</v>
      </c>
      <c r="L191" s="76" t="n">
        <v>45476</v>
      </c>
      <c r="M191" s="76" t="n">
        <v>45481</v>
      </c>
      <c r="N191" s="79" t="n">
        <v>714</v>
      </c>
      <c r="O191" s="75" t="s">
        <v>113</v>
      </c>
      <c r="P191" s="77"/>
    </row>
    <row r="192" customFormat="false" ht="15" hidden="false" customHeight="true" outlineLevel="0" collapsed="false">
      <c r="A192" s="70" t="s">
        <v>702</v>
      </c>
      <c r="B192" s="71" t="n">
        <v>45477</v>
      </c>
      <c r="C192" s="72" t="s">
        <v>703</v>
      </c>
      <c r="D192" s="70" t="s">
        <v>704</v>
      </c>
      <c r="E192" s="70" t="s">
        <v>147</v>
      </c>
      <c r="F192" s="73" t="n">
        <v>29000000</v>
      </c>
      <c r="G192" s="72" t="s">
        <v>130</v>
      </c>
      <c r="H192" s="70" t="s">
        <v>110</v>
      </c>
      <c r="I192" s="70" t="s">
        <v>119</v>
      </c>
      <c r="J192" s="72" t="s">
        <v>170</v>
      </c>
      <c r="K192" s="70" t="s">
        <v>104</v>
      </c>
      <c r="L192" s="71" t="n">
        <v>45482</v>
      </c>
      <c r="M192" s="71" t="n">
        <v>46202</v>
      </c>
      <c r="N192" s="74" t="n">
        <v>-7</v>
      </c>
      <c r="O192" s="70" t="s">
        <v>95</v>
      </c>
      <c r="P192" s="72"/>
    </row>
    <row r="193" customFormat="false" ht="15" hidden="false" customHeight="true" outlineLevel="0" collapsed="false">
      <c r="A193" s="75" t="s">
        <v>705</v>
      </c>
      <c r="B193" s="76" t="n">
        <v>45581</v>
      </c>
      <c r="C193" s="77" t="s">
        <v>706</v>
      </c>
      <c r="D193" s="75" t="s">
        <v>707</v>
      </c>
      <c r="E193" s="75" t="s">
        <v>214</v>
      </c>
      <c r="F193" s="78" t="n">
        <v>19500000</v>
      </c>
      <c r="G193" s="77" t="s">
        <v>195</v>
      </c>
      <c r="H193" s="75" t="s">
        <v>101</v>
      </c>
      <c r="I193" s="75" t="s">
        <v>119</v>
      </c>
      <c r="J193" s="77" t="s">
        <v>103</v>
      </c>
      <c r="K193" s="75" t="s">
        <v>161</v>
      </c>
      <c r="L193" s="76" t="n">
        <v>45583</v>
      </c>
      <c r="M193" s="76" t="n">
        <v>46195</v>
      </c>
      <c r="N193" s="79" t="n">
        <v>0</v>
      </c>
      <c r="O193" s="75" t="s">
        <v>551</v>
      </c>
      <c r="P193" s="77"/>
    </row>
    <row r="194" customFormat="false" ht="15" hidden="false" customHeight="true" outlineLevel="0" collapsed="false">
      <c r="A194" s="70" t="s">
        <v>708</v>
      </c>
      <c r="B194" s="71" t="n">
        <v>45692</v>
      </c>
      <c r="C194" s="72" t="s">
        <v>709</v>
      </c>
      <c r="D194" s="70" t="s">
        <v>710</v>
      </c>
      <c r="E194" s="70" t="s">
        <v>165</v>
      </c>
      <c r="F194" s="73" t="n">
        <v>17600000</v>
      </c>
      <c r="G194" s="72" t="s">
        <v>159</v>
      </c>
      <c r="H194" s="70" t="s">
        <v>101</v>
      </c>
      <c r="I194" s="70" t="s">
        <v>102</v>
      </c>
      <c r="J194" s="72" t="s">
        <v>112</v>
      </c>
      <c r="K194" s="70" t="s">
        <v>143</v>
      </c>
      <c r="L194" s="71" t="n">
        <v>45697</v>
      </c>
      <c r="M194" s="71" t="n">
        <v>46188</v>
      </c>
      <c r="N194" s="74" t="n">
        <v>7</v>
      </c>
      <c r="O194" s="70" t="s">
        <v>113</v>
      </c>
      <c r="P194" s="72"/>
    </row>
    <row r="195" customFormat="false" ht="15" hidden="false" customHeight="true" outlineLevel="0" collapsed="false">
      <c r="A195" s="75" t="s">
        <v>711</v>
      </c>
      <c r="B195" s="76" t="n">
        <v>45390</v>
      </c>
      <c r="C195" s="77" t="s">
        <v>712</v>
      </c>
      <c r="D195" s="75" t="s">
        <v>713</v>
      </c>
      <c r="E195" s="75" t="s">
        <v>89</v>
      </c>
      <c r="F195" s="78" t="n">
        <v>12900000</v>
      </c>
      <c r="G195" s="77" t="s">
        <v>100</v>
      </c>
      <c r="H195" s="75" t="s">
        <v>174</v>
      </c>
      <c r="I195" s="75" t="s">
        <v>160</v>
      </c>
      <c r="J195" s="77" t="s">
        <v>209</v>
      </c>
      <c r="K195" s="75" t="s">
        <v>104</v>
      </c>
      <c r="L195" s="76" t="n">
        <v>45392</v>
      </c>
      <c r="M195" s="76" t="n">
        <v>46193</v>
      </c>
      <c r="N195" s="79" t="n">
        <v>2</v>
      </c>
      <c r="O195" s="75" t="s">
        <v>113</v>
      </c>
      <c r="P195" s="77"/>
    </row>
    <row r="196" customFormat="false" ht="15" hidden="false" customHeight="true" outlineLevel="0" collapsed="false">
      <c r="A196" s="70" t="s">
        <v>714</v>
      </c>
      <c r="B196" s="71" t="n">
        <v>45527</v>
      </c>
      <c r="C196" s="72" t="s">
        <v>715</v>
      </c>
      <c r="D196" s="70" t="s">
        <v>716</v>
      </c>
      <c r="E196" s="70" t="s">
        <v>89</v>
      </c>
      <c r="F196" s="73" t="n">
        <v>15800000</v>
      </c>
      <c r="G196" s="72" t="s">
        <v>100</v>
      </c>
      <c r="H196" s="70" t="s">
        <v>174</v>
      </c>
      <c r="I196" s="70" t="s">
        <v>92</v>
      </c>
      <c r="J196" s="72" t="s">
        <v>103</v>
      </c>
      <c r="K196" s="70" t="s">
        <v>104</v>
      </c>
      <c r="L196" s="71" t="n">
        <v>45531</v>
      </c>
      <c r="M196" s="71" t="n">
        <v>46201</v>
      </c>
      <c r="N196" s="74" t="n">
        <v>-6</v>
      </c>
      <c r="O196" s="70" t="s">
        <v>95</v>
      </c>
      <c r="P196" s="72"/>
    </row>
    <row r="197" customFormat="false" ht="15" hidden="false" customHeight="true" outlineLevel="0" collapsed="false">
      <c r="A197" s="75" t="s">
        <v>717</v>
      </c>
      <c r="B197" s="76" t="n">
        <v>45623</v>
      </c>
      <c r="C197" s="77" t="s">
        <v>718</v>
      </c>
      <c r="D197" s="75" t="s">
        <v>719</v>
      </c>
      <c r="E197" s="75" t="s">
        <v>239</v>
      </c>
      <c r="F197" s="78" t="n">
        <v>20200000</v>
      </c>
      <c r="G197" s="77" t="s">
        <v>130</v>
      </c>
      <c r="H197" s="75" t="s">
        <v>101</v>
      </c>
      <c r="I197" s="75" t="s">
        <v>119</v>
      </c>
      <c r="J197" s="77" t="s">
        <v>93</v>
      </c>
      <c r="K197" s="75" t="s">
        <v>125</v>
      </c>
      <c r="L197" s="76" t="n">
        <v>45626</v>
      </c>
      <c r="M197" s="76" t="n">
        <v>45628</v>
      </c>
      <c r="N197" s="79" t="n">
        <v>567</v>
      </c>
      <c r="O197" s="75" t="s">
        <v>113</v>
      </c>
      <c r="P197" s="77"/>
    </row>
    <row r="198" customFormat="false" ht="15" hidden="false" customHeight="true" outlineLevel="0" collapsed="false">
      <c r="A198" s="70" t="s">
        <v>720</v>
      </c>
      <c r="B198" s="71" t="n">
        <v>45682</v>
      </c>
      <c r="C198" s="72" t="s">
        <v>721</v>
      </c>
      <c r="D198" s="70" t="s">
        <v>722</v>
      </c>
      <c r="E198" s="70" t="s">
        <v>117</v>
      </c>
      <c r="F198" s="73" t="n">
        <v>24400000</v>
      </c>
      <c r="G198" s="72" t="s">
        <v>100</v>
      </c>
      <c r="H198" s="70" t="s">
        <v>110</v>
      </c>
      <c r="I198" s="70" t="s">
        <v>102</v>
      </c>
      <c r="J198" s="72" t="s">
        <v>112</v>
      </c>
      <c r="K198" s="70" t="s">
        <v>161</v>
      </c>
      <c r="L198" s="71" t="n">
        <v>45687</v>
      </c>
      <c r="M198" s="71" t="n">
        <v>46210</v>
      </c>
      <c r="N198" s="74" t="n">
        <v>-15</v>
      </c>
      <c r="O198" s="70" t="s">
        <v>95</v>
      </c>
      <c r="P198" s="72"/>
    </row>
    <row r="199" customFormat="false" ht="15" hidden="false" customHeight="true" outlineLevel="0" collapsed="false">
      <c r="A199" s="75" t="s">
        <v>723</v>
      </c>
      <c r="B199" s="76" t="n">
        <v>45718</v>
      </c>
      <c r="C199" s="77" t="s">
        <v>724</v>
      </c>
      <c r="D199" s="75" t="s">
        <v>725</v>
      </c>
      <c r="E199" s="75" t="s">
        <v>165</v>
      </c>
      <c r="F199" s="78" t="n">
        <v>14400000</v>
      </c>
      <c r="G199" s="77" t="s">
        <v>100</v>
      </c>
      <c r="H199" s="75" t="s">
        <v>174</v>
      </c>
      <c r="I199" s="75" t="s">
        <v>160</v>
      </c>
      <c r="J199" s="77" t="s">
        <v>124</v>
      </c>
      <c r="K199" s="75" t="s">
        <v>161</v>
      </c>
      <c r="L199" s="76" t="n">
        <v>45721</v>
      </c>
      <c r="M199" s="76" t="n">
        <v>46195</v>
      </c>
      <c r="N199" s="79" t="n">
        <v>0</v>
      </c>
      <c r="O199" s="75" t="s">
        <v>551</v>
      </c>
      <c r="P199" s="77"/>
    </row>
    <row r="200" customFormat="false" ht="15" hidden="false" customHeight="true" outlineLevel="0" collapsed="false">
      <c r="A200" s="70" t="s">
        <v>726</v>
      </c>
      <c r="B200" s="71" t="n">
        <v>45660</v>
      </c>
      <c r="C200" s="72" t="s">
        <v>727</v>
      </c>
      <c r="D200" s="70" t="s">
        <v>728</v>
      </c>
      <c r="E200" s="70" t="s">
        <v>129</v>
      </c>
      <c r="F200" s="73" t="n">
        <v>7100000</v>
      </c>
      <c r="G200" s="72" t="s">
        <v>130</v>
      </c>
      <c r="H200" s="70" t="s">
        <v>91</v>
      </c>
      <c r="I200" s="70" t="s">
        <v>85</v>
      </c>
      <c r="J200" s="72" t="s">
        <v>103</v>
      </c>
      <c r="K200" s="70" t="s">
        <v>161</v>
      </c>
      <c r="L200" s="71" t="n">
        <v>45661</v>
      </c>
      <c r="M200" s="71" t="n">
        <v>46203</v>
      </c>
      <c r="N200" s="74" t="n">
        <v>-8</v>
      </c>
      <c r="O200" s="70" t="s">
        <v>95</v>
      </c>
      <c r="P200" s="72" t="s">
        <v>494</v>
      </c>
    </row>
    <row r="201" customFormat="false" ht="15" hidden="false" customHeight="true" outlineLevel="0" collapsed="false">
      <c r="A201" s="75" t="s">
        <v>729</v>
      </c>
      <c r="B201" s="76" t="n">
        <v>45641</v>
      </c>
      <c r="C201" s="77" t="s">
        <v>730</v>
      </c>
      <c r="D201" s="75" t="s">
        <v>731</v>
      </c>
      <c r="E201" s="75" t="s">
        <v>136</v>
      </c>
      <c r="F201" s="78" t="n">
        <v>25900000</v>
      </c>
      <c r="G201" s="77" t="s">
        <v>109</v>
      </c>
      <c r="H201" s="75" t="s">
        <v>110</v>
      </c>
      <c r="I201" s="75" t="s">
        <v>102</v>
      </c>
      <c r="J201" s="77" t="s">
        <v>170</v>
      </c>
      <c r="K201" s="75" t="s">
        <v>120</v>
      </c>
      <c r="L201" s="76" t="n">
        <v>45645</v>
      </c>
      <c r="M201" s="76" t="n">
        <v>46206</v>
      </c>
      <c r="N201" s="79" t="n">
        <v>-11</v>
      </c>
      <c r="O201" s="75" t="s">
        <v>95</v>
      </c>
      <c r="P201" s="77"/>
    </row>
    <row r="202" customFormat="false" ht="15" hidden="false" customHeight="true" outlineLevel="0" collapsed="false">
      <c r="A202" s="70" t="s">
        <v>732</v>
      </c>
      <c r="B202" s="71" t="n">
        <v>45391</v>
      </c>
      <c r="C202" s="72" t="s">
        <v>733</v>
      </c>
      <c r="D202" s="70" t="s">
        <v>734</v>
      </c>
      <c r="E202" s="70" t="s">
        <v>155</v>
      </c>
      <c r="F202" s="73" t="n">
        <v>4500000</v>
      </c>
      <c r="G202" s="72" t="s">
        <v>166</v>
      </c>
      <c r="H202" s="70" t="s">
        <v>118</v>
      </c>
      <c r="I202" s="70" t="s">
        <v>137</v>
      </c>
      <c r="J202" s="72" t="s">
        <v>103</v>
      </c>
      <c r="K202" s="70" t="s">
        <v>143</v>
      </c>
      <c r="L202" s="71" t="n">
        <v>45396</v>
      </c>
      <c r="M202" s="71" t="n">
        <v>46210</v>
      </c>
      <c r="N202" s="74" t="n">
        <v>-15</v>
      </c>
      <c r="O202" s="70" t="s">
        <v>95</v>
      </c>
      <c r="P202" s="72"/>
    </row>
    <row r="203" customFormat="false" ht="15" hidden="false" customHeight="true" outlineLevel="0" collapsed="false">
      <c r="A203" s="75" t="s">
        <v>735</v>
      </c>
      <c r="B203" s="76" t="n">
        <v>45481</v>
      </c>
      <c r="C203" s="77" t="s">
        <v>124</v>
      </c>
      <c r="D203" s="75" t="s">
        <v>736</v>
      </c>
      <c r="E203" s="75" t="s">
        <v>147</v>
      </c>
      <c r="F203" s="78" t="n">
        <v>6900000</v>
      </c>
      <c r="G203" s="77" t="s">
        <v>186</v>
      </c>
      <c r="H203" s="75" t="s">
        <v>91</v>
      </c>
      <c r="I203" s="75" t="s">
        <v>102</v>
      </c>
      <c r="J203" s="77" t="s">
        <v>103</v>
      </c>
      <c r="K203" s="75" t="s">
        <v>120</v>
      </c>
      <c r="L203" s="76" t="n">
        <v>45486</v>
      </c>
      <c r="M203" s="76" t="n">
        <v>46199</v>
      </c>
      <c r="N203" s="79" t="n">
        <v>-4</v>
      </c>
      <c r="O203" s="75" t="s">
        <v>95</v>
      </c>
      <c r="P203" s="77"/>
    </row>
    <row r="204" customFormat="false" ht="15" hidden="false" customHeight="true" outlineLevel="0" collapsed="false">
      <c r="A204" s="70" t="s">
        <v>737</v>
      </c>
      <c r="B204" s="71" t="n">
        <v>45498</v>
      </c>
      <c r="C204" s="72" t="s">
        <v>738</v>
      </c>
      <c r="D204" s="70" t="s">
        <v>739</v>
      </c>
      <c r="E204" s="70" t="s">
        <v>141</v>
      </c>
      <c r="F204" s="73" t="n">
        <v>13900000</v>
      </c>
      <c r="G204" s="72" t="s">
        <v>130</v>
      </c>
      <c r="H204" s="70" t="s">
        <v>174</v>
      </c>
      <c r="I204" s="70" t="s">
        <v>137</v>
      </c>
      <c r="J204" s="72" t="s">
        <v>124</v>
      </c>
      <c r="K204" s="70" t="s">
        <v>205</v>
      </c>
      <c r="L204" s="71" t="n">
        <v>45501</v>
      </c>
      <c r="M204" s="71" t="n">
        <v>45502</v>
      </c>
      <c r="N204" s="74" t="n">
        <v>693</v>
      </c>
      <c r="O204" s="70" t="s">
        <v>113</v>
      </c>
      <c r="P204" s="72"/>
    </row>
    <row r="205" customFormat="false" ht="15" hidden="false" customHeight="true" outlineLevel="0" collapsed="false">
      <c r="A205" s="75" t="s">
        <v>740</v>
      </c>
      <c r="B205" s="76" t="n">
        <v>45470</v>
      </c>
      <c r="C205" s="77" t="s">
        <v>191</v>
      </c>
      <c r="D205" s="75" t="s">
        <v>741</v>
      </c>
      <c r="E205" s="75" t="s">
        <v>136</v>
      </c>
      <c r="F205" s="78" t="n">
        <v>14300000</v>
      </c>
      <c r="G205" s="77" t="s">
        <v>186</v>
      </c>
      <c r="H205" s="75" t="s">
        <v>174</v>
      </c>
      <c r="I205" s="75" t="s">
        <v>119</v>
      </c>
      <c r="J205" s="77" t="s">
        <v>178</v>
      </c>
      <c r="K205" s="75" t="s">
        <v>94</v>
      </c>
      <c r="L205" s="76" t="n">
        <v>45471</v>
      </c>
      <c r="M205" s="76" t="n">
        <v>46202</v>
      </c>
      <c r="N205" s="79" t="n">
        <v>-7</v>
      </c>
      <c r="O205" s="75" t="s">
        <v>95</v>
      </c>
      <c r="P205" s="77"/>
    </row>
    <row r="206" customFormat="false" ht="15" hidden="false" customHeight="true" outlineLevel="0" collapsed="false">
      <c r="A206" s="70" t="s">
        <v>742</v>
      </c>
      <c r="B206" s="71" t="n">
        <v>45406</v>
      </c>
      <c r="C206" s="72" t="s">
        <v>743</v>
      </c>
      <c r="D206" s="70" t="s">
        <v>744</v>
      </c>
      <c r="E206" s="70" t="s">
        <v>141</v>
      </c>
      <c r="F206" s="73" t="n">
        <v>7400000</v>
      </c>
      <c r="G206" s="72" t="s">
        <v>195</v>
      </c>
      <c r="H206" s="70" t="s">
        <v>91</v>
      </c>
      <c r="I206" s="70" t="s">
        <v>160</v>
      </c>
      <c r="J206" s="72" t="s">
        <v>148</v>
      </c>
      <c r="K206" s="70" t="s">
        <v>161</v>
      </c>
      <c r="L206" s="71" t="n">
        <v>45407</v>
      </c>
      <c r="M206" s="71" t="n">
        <v>46208</v>
      </c>
      <c r="N206" s="74" t="n">
        <v>-13</v>
      </c>
      <c r="O206" s="70" t="s">
        <v>95</v>
      </c>
      <c r="P206" s="72"/>
    </row>
    <row r="207" customFormat="false" ht="15" hidden="false" customHeight="true" outlineLevel="0" collapsed="false">
      <c r="A207" s="75" t="s">
        <v>745</v>
      </c>
      <c r="B207" s="76" t="n">
        <v>45586</v>
      </c>
      <c r="C207" s="77" t="s">
        <v>746</v>
      </c>
      <c r="D207" s="75" t="s">
        <v>747</v>
      </c>
      <c r="E207" s="75" t="s">
        <v>129</v>
      </c>
      <c r="F207" s="78" t="n">
        <v>4900000</v>
      </c>
      <c r="G207" s="77" t="s">
        <v>130</v>
      </c>
      <c r="H207" s="75" t="s">
        <v>118</v>
      </c>
      <c r="I207" s="75" t="s">
        <v>137</v>
      </c>
      <c r="J207" s="77" t="s">
        <v>170</v>
      </c>
      <c r="K207" s="75" t="s">
        <v>125</v>
      </c>
      <c r="L207" s="76" t="n">
        <v>45587</v>
      </c>
      <c r="M207" s="76" t="n">
        <v>45590</v>
      </c>
      <c r="N207" s="79" t="n">
        <v>605</v>
      </c>
      <c r="O207" s="75" t="s">
        <v>113</v>
      </c>
      <c r="P207" s="77"/>
    </row>
    <row r="208" customFormat="false" ht="15" hidden="false" customHeight="true" outlineLevel="0" collapsed="false">
      <c r="A208" s="70" t="s">
        <v>748</v>
      </c>
      <c r="B208" s="71" t="n">
        <v>45423</v>
      </c>
      <c r="C208" s="72" t="s">
        <v>749</v>
      </c>
      <c r="D208" s="70" t="s">
        <v>750</v>
      </c>
      <c r="E208" s="70" t="s">
        <v>136</v>
      </c>
      <c r="F208" s="73" t="n">
        <v>15200000</v>
      </c>
      <c r="G208" s="72" t="s">
        <v>130</v>
      </c>
      <c r="H208" s="70" t="s">
        <v>174</v>
      </c>
      <c r="I208" s="70" t="s">
        <v>85</v>
      </c>
      <c r="J208" s="72" t="s">
        <v>170</v>
      </c>
      <c r="K208" s="70" t="s">
        <v>125</v>
      </c>
      <c r="L208" s="71" t="n">
        <v>45428</v>
      </c>
      <c r="M208" s="71" t="n">
        <v>45431</v>
      </c>
      <c r="N208" s="74" t="n">
        <v>764</v>
      </c>
      <c r="O208" s="70" t="s">
        <v>113</v>
      </c>
      <c r="P208" s="72" t="s">
        <v>494</v>
      </c>
    </row>
    <row r="209" customFormat="false" ht="15" hidden="false" customHeight="true" outlineLevel="0" collapsed="false">
      <c r="A209" s="75" t="s">
        <v>751</v>
      </c>
      <c r="B209" s="76" t="n">
        <v>45613</v>
      </c>
      <c r="C209" s="77" t="s">
        <v>752</v>
      </c>
      <c r="D209" s="75" t="s">
        <v>753</v>
      </c>
      <c r="E209" s="75" t="s">
        <v>165</v>
      </c>
      <c r="F209" s="78" t="n">
        <v>9700000</v>
      </c>
      <c r="G209" s="77" t="s">
        <v>186</v>
      </c>
      <c r="H209" s="75" t="s">
        <v>131</v>
      </c>
      <c r="I209" s="75" t="s">
        <v>85</v>
      </c>
      <c r="J209" s="77" t="s">
        <v>112</v>
      </c>
      <c r="K209" s="75" t="s">
        <v>125</v>
      </c>
      <c r="L209" s="76" t="n">
        <v>45617</v>
      </c>
      <c r="M209" s="76" t="n">
        <v>45619</v>
      </c>
      <c r="N209" s="79" t="n">
        <v>576</v>
      </c>
      <c r="O209" s="75" t="s">
        <v>113</v>
      </c>
      <c r="P209" s="77" t="s">
        <v>448</v>
      </c>
    </row>
    <row r="210" customFormat="false" ht="15" hidden="false" customHeight="true" outlineLevel="0" collapsed="false">
      <c r="A210" s="70" t="s">
        <v>754</v>
      </c>
      <c r="B210" s="71" t="n">
        <v>45420</v>
      </c>
      <c r="C210" s="72" t="s">
        <v>755</v>
      </c>
      <c r="D210" s="70" t="s">
        <v>756</v>
      </c>
      <c r="E210" s="70" t="s">
        <v>155</v>
      </c>
      <c r="F210" s="73" t="n">
        <v>6100000</v>
      </c>
      <c r="G210" s="72" t="s">
        <v>186</v>
      </c>
      <c r="H210" s="70" t="s">
        <v>118</v>
      </c>
      <c r="I210" s="70" t="s">
        <v>137</v>
      </c>
      <c r="J210" s="72" t="s">
        <v>112</v>
      </c>
      <c r="K210" s="70" t="s">
        <v>125</v>
      </c>
      <c r="L210" s="71" t="n">
        <v>45421</v>
      </c>
      <c r="M210" s="71" t="n">
        <v>45424</v>
      </c>
      <c r="N210" s="74" t="n">
        <v>771</v>
      </c>
      <c r="O210" s="70" t="s">
        <v>113</v>
      </c>
      <c r="P210" s="72"/>
    </row>
    <row r="211" customFormat="false" ht="15" hidden="false" customHeight="true" outlineLevel="0" collapsed="false">
      <c r="A211" s="75" t="s">
        <v>757</v>
      </c>
      <c r="B211" s="76" t="n">
        <v>45521</v>
      </c>
      <c r="C211" s="77" t="s">
        <v>758</v>
      </c>
      <c r="D211" s="75" t="s">
        <v>759</v>
      </c>
      <c r="E211" s="75" t="s">
        <v>165</v>
      </c>
      <c r="F211" s="78" t="n">
        <v>4700000</v>
      </c>
      <c r="G211" s="77" t="s">
        <v>130</v>
      </c>
      <c r="H211" s="75" t="s">
        <v>118</v>
      </c>
      <c r="I211" s="75" t="s">
        <v>102</v>
      </c>
      <c r="J211" s="77" t="s">
        <v>112</v>
      </c>
      <c r="K211" s="75" t="s">
        <v>143</v>
      </c>
      <c r="L211" s="76" t="n">
        <v>45522</v>
      </c>
      <c r="M211" s="76" t="n">
        <v>46191</v>
      </c>
      <c r="N211" s="79" t="n">
        <v>4</v>
      </c>
      <c r="O211" s="75" t="s">
        <v>113</v>
      </c>
      <c r="P211" s="77"/>
    </row>
    <row r="212" customFormat="false" ht="15" hidden="false" customHeight="true" outlineLevel="0" collapsed="false">
      <c r="A212" s="70" t="s">
        <v>760</v>
      </c>
      <c r="B212" s="71" t="n">
        <v>45688</v>
      </c>
      <c r="C212" s="72" t="s">
        <v>761</v>
      </c>
      <c r="D212" s="70" t="s">
        <v>762</v>
      </c>
      <c r="E212" s="70" t="s">
        <v>147</v>
      </c>
      <c r="F212" s="73" t="n">
        <v>4600000</v>
      </c>
      <c r="G212" s="72" t="s">
        <v>186</v>
      </c>
      <c r="H212" s="70" t="s">
        <v>118</v>
      </c>
      <c r="I212" s="70" t="s">
        <v>102</v>
      </c>
      <c r="J212" s="72" t="s">
        <v>209</v>
      </c>
      <c r="K212" s="70" t="s">
        <v>161</v>
      </c>
      <c r="L212" s="71" t="n">
        <v>45693</v>
      </c>
      <c r="M212" s="71" t="n">
        <v>46197</v>
      </c>
      <c r="N212" s="74" t="n">
        <v>-2</v>
      </c>
      <c r="O212" s="70" t="s">
        <v>95</v>
      </c>
      <c r="P212" s="72"/>
    </row>
    <row r="213" customFormat="false" ht="15" hidden="false" customHeight="true" outlineLevel="0" collapsed="false">
      <c r="A213" s="75" t="s">
        <v>763</v>
      </c>
      <c r="B213" s="76" t="n">
        <v>45469</v>
      </c>
      <c r="C213" s="77" t="s">
        <v>764</v>
      </c>
      <c r="D213" s="75" t="s">
        <v>765</v>
      </c>
      <c r="E213" s="75" t="s">
        <v>136</v>
      </c>
      <c r="F213" s="78" t="n">
        <v>6000000</v>
      </c>
      <c r="G213" s="77" t="s">
        <v>186</v>
      </c>
      <c r="H213" s="75" t="s">
        <v>118</v>
      </c>
      <c r="I213" s="75" t="s">
        <v>137</v>
      </c>
      <c r="J213" s="77" t="s">
        <v>124</v>
      </c>
      <c r="K213" s="75" t="s">
        <v>161</v>
      </c>
      <c r="L213" s="76" t="n">
        <v>45473</v>
      </c>
      <c r="M213" s="76" t="n">
        <v>46192</v>
      </c>
      <c r="N213" s="79" t="n">
        <v>3</v>
      </c>
      <c r="O213" s="75" t="s">
        <v>113</v>
      </c>
      <c r="P213" s="77"/>
    </row>
    <row r="214" customFormat="false" ht="15" hidden="false" customHeight="true" outlineLevel="0" collapsed="false">
      <c r="A214" s="70" t="s">
        <v>766</v>
      </c>
      <c r="B214" s="71" t="n">
        <v>45630</v>
      </c>
      <c r="C214" s="72" t="s">
        <v>767</v>
      </c>
      <c r="D214" s="70" t="s">
        <v>768</v>
      </c>
      <c r="E214" s="70" t="s">
        <v>214</v>
      </c>
      <c r="F214" s="73" t="n">
        <v>4900000</v>
      </c>
      <c r="G214" s="72" t="s">
        <v>109</v>
      </c>
      <c r="H214" s="70" t="s">
        <v>118</v>
      </c>
      <c r="I214" s="70" t="s">
        <v>119</v>
      </c>
      <c r="J214" s="72" t="s">
        <v>112</v>
      </c>
      <c r="K214" s="70" t="s">
        <v>143</v>
      </c>
      <c r="L214" s="71" t="n">
        <v>45631</v>
      </c>
      <c r="M214" s="71" t="n">
        <v>46198</v>
      </c>
      <c r="N214" s="74" t="n">
        <v>-3</v>
      </c>
      <c r="O214" s="70" t="s">
        <v>95</v>
      </c>
      <c r="P214" s="72"/>
    </row>
    <row r="215" customFormat="false" ht="15" hidden="false" customHeight="true" outlineLevel="0" collapsed="false">
      <c r="A215" s="75" t="s">
        <v>769</v>
      </c>
      <c r="B215" s="76" t="n">
        <v>45585</v>
      </c>
      <c r="C215" s="77" t="s">
        <v>770</v>
      </c>
      <c r="D215" s="75" t="s">
        <v>771</v>
      </c>
      <c r="E215" s="75" t="s">
        <v>117</v>
      </c>
      <c r="F215" s="78" t="n">
        <v>12400000</v>
      </c>
      <c r="G215" s="77" t="s">
        <v>100</v>
      </c>
      <c r="H215" s="75" t="s">
        <v>174</v>
      </c>
      <c r="I215" s="75" t="s">
        <v>92</v>
      </c>
      <c r="J215" s="77" t="s">
        <v>112</v>
      </c>
      <c r="K215" s="75" t="s">
        <v>120</v>
      </c>
      <c r="L215" s="76" t="n">
        <v>45588</v>
      </c>
      <c r="M215" s="76" t="n">
        <v>46207</v>
      </c>
      <c r="N215" s="79" t="n">
        <v>-12</v>
      </c>
      <c r="O215" s="75" t="s">
        <v>95</v>
      </c>
      <c r="P215" s="77"/>
    </row>
    <row r="216" customFormat="false" ht="15" hidden="false" customHeight="true" outlineLevel="0" collapsed="false">
      <c r="A216" s="70" t="s">
        <v>772</v>
      </c>
      <c r="B216" s="71" t="n">
        <v>45473</v>
      </c>
      <c r="C216" s="72" t="s">
        <v>773</v>
      </c>
      <c r="D216" s="70" t="s">
        <v>774</v>
      </c>
      <c r="E216" s="70" t="s">
        <v>136</v>
      </c>
      <c r="F216" s="73" t="n">
        <v>12200000</v>
      </c>
      <c r="G216" s="72" t="s">
        <v>109</v>
      </c>
      <c r="H216" s="70" t="s">
        <v>131</v>
      </c>
      <c r="I216" s="70" t="s">
        <v>137</v>
      </c>
      <c r="J216" s="72" t="s">
        <v>124</v>
      </c>
      <c r="K216" s="70" t="s">
        <v>161</v>
      </c>
      <c r="L216" s="71" t="n">
        <v>45477</v>
      </c>
      <c r="M216" s="71" t="n">
        <v>46197</v>
      </c>
      <c r="N216" s="74" t="n">
        <v>-2</v>
      </c>
      <c r="O216" s="70" t="s">
        <v>95</v>
      </c>
      <c r="P216" s="72"/>
    </row>
    <row r="217" customFormat="false" ht="15" hidden="false" customHeight="true" outlineLevel="0" collapsed="false">
      <c r="A217" s="75" t="s">
        <v>775</v>
      </c>
      <c r="B217" s="76" t="n">
        <v>45671</v>
      </c>
      <c r="C217" s="77" t="s">
        <v>776</v>
      </c>
      <c r="D217" s="75" t="s">
        <v>777</v>
      </c>
      <c r="E217" s="75" t="s">
        <v>99</v>
      </c>
      <c r="F217" s="78" t="n">
        <v>13200000</v>
      </c>
      <c r="G217" s="77" t="s">
        <v>130</v>
      </c>
      <c r="H217" s="75" t="s">
        <v>174</v>
      </c>
      <c r="I217" s="75" t="s">
        <v>160</v>
      </c>
      <c r="J217" s="77" t="s">
        <v>191</v>
      </c>
      <c r="K217" s="75" t="s">
        <v>143</v>
      </c>
      <c r="L217" s="76" t="n">
        <v>45673</v>
      </c>
      <c r="M217" s="76" t="n">
        <v>46205</v>
      </c>
      <c r="N217" s="79" t="n">
        <v>-10</v>
      </c>
      <c r="O217" s="75" t="s">
        <v>95</v>
      </c>
      <c r="P217" s="77"/>
    </row>
    <row r="218" customFormat="false" ht="15" hidden="false" customHeight="true" outlineLevel="0" collapsed="false">
      <c r="A218" s="70" t="s">
        <v>778</v>
      </c>
      <c r="B218" s="71" t="n">
        <v>45418</v>
      </c>
      <c r="C218" s="72" t="s">
        <v>456</v>
      </c>
      <c r="D218" s="70" t="s">
        <v>779</v>
      </c>
      <c r="E218" s="70" t="s">
        <v>89</v>
      </c>
      <c r="F218" s="73" t="n">
        <v>25500000</v>
      </c>
      <c r="G218" s="72" t="s">
        <v>166</v>
      </c>
      <c r="H218" s="70" t="s">
        <v>110</v>
      </c>
      <c r="I218" s="70" t="s">
        <v>119</v>
      </c>
      <c r="J218" s="72" t="s">
        <v>112</v>
      </c>
      <c r="K218" s="70" t="s">
        <v>125</v>
      </c>
      <c r="L218" s="71" t="n">
        <v>45422</v>
      </c>
      <c r="M218" s="71" t="n">
        <v>45426</v>
      </c>
      <c r="N218" s="74" t="n">
        <v>769</v>
      </c>
      <c r="O218" s="70" t="s">
        <v>113</v>
      </c>
      <c r="P218" s="72"/>
    </row>
    <row r="219" customFormat="false" ht="15" hidden="false" customHeight="true" outlineLevel="0" collapsed="false">
      <c r="A219" s="75" t="s">
        <v>780</v>
      </c>
      <c r="B219" s="76" t="n">
        <v>45689</v>
      </c>
      <c r="C219" s="77" t="s">
        <v>781</v>
      </c>
      <c r="D219" s="75" t="s">
        <v>782</v>
      </c>
      <c r="E219" s="75" t="s">
        <v>239</v>
      </c>
      <c r="F219" s="78" t="n">
        <v>29100000</v>
      </c>
      <c r="G219" s="77" t="s">
        <v>109</v>
      </c>
      <c r="H219" s="75" t="s">
        <v>110</v>
      </c>
      <c r="I219" s="75" t="s">
        <v>160</v>
      </c>
      <c r="J219" s="77" t="s">
        <v>191</v>
      </c>
      <c r="K219" s="75" t="s">
        <v>120</v>
      </c>
      <c r="L219" s="76" t="n">
        <v>45693</v>
      </c>
      <c r="M219" s="76" t="n">
        <v>46208</v>
      </c>
      <c r="N219" s="79" t="n">
        <v>-13</v>
      </c>
      <c r="O219" s="75" t="s">
        <v>95</v>
      </c>
      <c r="P219" s="77"/>
    </row>
    <row r="220" customFormat="false" ht="15" hidden="false" customHeight="true" outlineLevel="0" collapsed="false">
      <c r="A220" s="70" t="s">
        <v>783</v>
      </c>
      <c r="B220" s="71" t="n">
        <v>45510</v>
      </c>
      <c r="C220" s="72" t="s">
        <v>784</v>
      </c>
      <c r="D220" s="70" t="s">
        <v>785</v>
      </c>
      <c r="E220" s="70" t="s">
        <v>108</v>
      </c>
      <c r="F220" s="73" t="n">
        <v>31000000</v>
      </c>
      <c r="G220" s="72" t="s">
        <v>130</v>
      </c>
      <c r="H220" s="70" t="s">
        <v>110</v>
      </c>
      <c r="I220" s="70" t="s">
        <v>137</v>
      </c>
      <c r="J220" s="72" t="s">
        <v>93</v>
      </c>
      <c r="K220" s="70" t="s">
        <v>120</v>
      </c>
      <c r="L220" s="71" t="n">
        <v>45513</v>
      </c>
      <c r="M220" s="71" t="n">
        <v>46193</v>
      </c>
      <c r="N220" s="74" t="n">
        <v>2</v>
      </c>
      <c r="O220" s="70" t="s">
        <v>113</v>
      </c>
      <c r="P220" s="72"/>
    </row>
    <row r="221" customFormat="false" ht="15" hidden="false" customHeight="true" outlineLevel="0" collapsed="false">
      <c r="A221" s="75" t="s">
        <v>786</v>
      </c>
      <c r="B221" s="76" t="n">
        <v>45496</v>
      </c>
      <c r="C221" s="77" t="s">
        <v>787</v>
      </c>
      <c r="D221" s="75" t="s">
        <v>788</v>
      </c>
      <c r="E221" s="75" t="s">
        <v>155</v>
      </c>
      <c r="F221" s="78" t="n">
        <v>13100000</v>
      </c>
      <c r="G221" s="77" t="s">
        <v>186</v>
      </c>
      <c r="H221" s="75" t="s">
        <v>131</v>
      </c>
      <c r="I221" s="75" t="s">
        <v>102</v>
      </c>
      <c r="J221" s="77" t="s">
        <v>178</v>
      </c>
      <c r="K221" s="75" t="s">
        <v>120</v>
      </c>
      <c r="L221" s="76" t="n">
        <v>45501</v>
      </c>
      <c r="M221" s="76" t="n">
        <v>46197</v>
      </c>
      <c r="N221" s="79" t="n">
        <v>-2</v>
      </c>
      <c r="O221" s="75" t="s">
        <v>95</v>
      </c>
      <c r="P221" s="77"/>
    </row>
    <row r="222" customFormat="false" ht="15" hidden="false" customHeight="true" outlineLevel="0" collapsed="false">
      <c r="A222" s="70" t="s">
        <v>789</v>
      </c>
      <c r="B222" s="71" t="n">
        <v>45426</v>
      </c>
      <c r="C222" s="72" t="s">
        <v>790</v>
      </c>
      <c r="D222" s="70" t="s">
        <v>791</v>
      </c>
      <c r="E222" s="70" t="s">
        <v>155</v>
      </c>
      <c r="F222" s="73" t="n">
        <v>9700000</v>
      </c>
      <c r="G222" s="72" t="s">
        <v>109</v>
      </c>
      <c r="H222" s="70" t="s">
        <v>131</v>
      </c>
      <c r="I222" s="70" t="s">
        <v>119</v>
      </c>
      <c r="J222" s="72" t="s">
        <v>93</v>
      </c>
      <c r="K222" s="70" t="s">
        <v>104</v>
      </c>
      <c r="L222" s="71" t="n">
        <v>45427</v>
      </c>
      <c r="M222" s="71" t="n">
        <v>46210</v>
      </c>
      <c r="N222" s="74" t="n">
        <v>-15</v>
      </c>
      <c r="O222" s="70" t="s">
        <v>95</v>
      </c>
      <c r="P222" s="72"/>
    </row>
    <row r="223" customFormat="false" ht="15" hidden="false" customHeight="true" outlineLevel="0" collapsed="false">
      <c r="A223" s="75" t="s">
        <v>792</v>
      </c>
      <c r="B223" s="76" t="n">
        <v>45614</v>
      </c>
      <c r="C223" s="77" t="s">
        <v>793</v>
      </c>
      <c r="D223" s="75" t="s">
        <v>794</v>
      </c>
      <c r="E223" s="75" t="s">
        <v>214</v>
      </c>
      <c r="F223" s="78" t="n">
        <v>20100000</v>
      </c>
      <c r="G223" s="77" t="s">
        <v>100</v>
      </c>
      <c r="H223" s="75" t="s">
        <v>101</v>
      </c>
      <c r="I223" s="75" t="s">
        <v>111</v>
      </c>
      <c r="J223" s="77" t="s">
        <v>142</v>
      </c>
      <c r="K223" s="75" t="s">
        <v>120</v>
      </c>
      <c r="L223" s="76" t="n">
        <v>45617</v>
      </c>
      <c r="M223" s="76" t="n">
        <v>46187</v>
      </c>
      <c r="N223" s="79" t="n">
        <v>8</v>
      </c>
      <c r="O223" s="75" t="s">
        <v>113</v>
      </c>
      <c r="P223" s="77"/>
    </row>
    <row r="224" customFormat="false" ht="15" hidden="false" customHeight="true" outlineLevel="0" collapsed="false">
      <c r="A224" s="70" t="s">
        <v>795</v>
      </c>
      <c r="B224" s="71" t="n">
        <v>45665</v>
      </c>
      <c r="C224" s="72" t="s">
        <v>87</v>
      </c>
      <c r="D224" s="70" t="s">
        <v>796</v>
      </c>
      <c r="E224" s="70" t="s">
        <v>165</v>
      </c>
      <c r="F224" s="73" t="n">
        <v>24800000</v>
      </c>
      <c r="G224" s="72" t="s">
        <v>159</v>
      </c>
      <c r="H224" s="70" t="s">
        <v>110</v>
      </c>
      <c r="I224" s="70" t="s">
        <v>85</v>
      </c>
      <c r="J224" s="72" t="s">
        <v>124</v>
      </c>
      <c r="K224" s="70" t="s">
        <v>161</v>
      </c>
      <c r="L224" s="71" t="n">
        <v>45667</v>
      </c>
      <c r="M224" s="71" t="n">
        <v>46197</v>
      </c>
      <c r="N224" s="74" t="n">
        <v>-2</v>
      </c>
      <c r="O224" s="70" t="s">
        <v>95</v>
      </c>
      <c r="P224" s="72" t="s">
        <v>187</v>
      </c>
    </row>
    <row r="225" customFormat="false" ht="15" hidden="false" customHeight="true" outlineLevel="0" collapsed="false">
      <c r="A225" s="75" t="s">
        <v>797</v>
      </c>
      <c r="B225" s="76" t="n">
        <v>45613</v>
      </c>
      <c r="C225" s="77" t="s">
        <v>798</v>
      </c>
      <c r="D225" s="75" t="s">
        <v>799</v>
      </c>
      <c r="E225" s="75" t="s">
        <v>129</v>
      </c>
      <c r="F225" s="78" t="n">
        <v>12100000</v>
      </c>
      <c r="G225" s="77" t="s">
        <v>186</v>
      </c>
      <c r="H225" s="75" t="s">
        <v>174</v>
      </c>
      <c r="I225" s="75" t="s">
        <v>85</v>
      </c>
      <c r="J225" s="77" t="s">
        <v>148</v>
      </c>
      <c r="K225" s="75" t="s">
        <v>125</v>
      </c>
      <c r="L225" s="76" t="n">
        <v>45618</v>
      </c>
      <c r="M225" s="76" t="n">
        <v>45622</v>
      </c>
      <c r="N225" s="79" t="n">
        <v>573</v>
      </c>
      <c r="O225" s="75" t="s">
        <v>113</v>
      </c>
      <c r="P225" s="77" t="s">
        <v>187</v>
      </c>
    </row>
    <row r="226" customFormat="false" ht="15" hidden="false" customHeight="true" outlineLevel="0" collapsed="false">
      <c r="A226" s="70" t="s">
        <v>800</v>
      </c>
      <c r="B226" s="71" t="n">
        <v>45549</v>
      </c>
      <c r="C226" s="72" t="s">
        <v>801</v>
      </c>
      <c r="D226" s="70" t="s">
        <v>802</v>
      </c>
      <c r="E226" s="70" t="s">
        <v>89</v>
      </c>
      <c r="F226" s="73" t="n">
        <v>16900000</v>
      </c>
      <c r="G226" s="72" t="s">
        <v>159</v>
      </c>
      <c r="H226" s="70" t="s">
        <v>101</v>
      </c>
      <c r="I226" s="70" t="s">
        <v>160</v>
      </c>
      <c r="J226" s="72" t="s">
        <v>103</v>
      </c>
      <c r="K226" s="70" t="s">
        <v>104</v>
      </c>
      <c r="L226" s="71" t="n">
        <v>45551</v>
      </c>
      <c r="M226" s="71" t="n">
        <v>46201</v>
      </c>
      <c r="N226" s="74" t="n">
        <v>-6</v>
      </c>
      <c r="O226" s="70" t="s">
        <v>95</v>
      </c>
      <c r="P226" s="72"/>
    </row>
    <row r="227" customFormat="false" ht="15" hidden="false" customHeight="true" outlineLevel="0" collapsed="false">
      <c r="A227" s="75" t="s">
        <v>803</v>
      </c>
      <c r="B227" s="76" t="n">
        <v>45561</v>
      </c>
      <c r="C227" s="77" t="s">
        <v>804</v>
      </c>
      <c r="D227" s="75" t="s">
        <v>805</v>
      </c>
      <c r="E227" s="75" t="s">
        <v>155</v>
      </c>
      <c r="F227" s="78" t="n">
        <v>19300000</v>
      </c>
      <c r="G227" s="77" t="s">
        <v>130</v>
      </c>
      <c r="H227" s="75" t="s">
        <v>101</v>
      </c>
      <c r="I227" s="75" t="s">
        <v>137</v>
      </c>
      <c r="J227" s="77" t="s">
        <v>191</v>
      </c>
      <c r="K227" s="75" t="s">
        <v>161</v>
      </c>
      <c r="L227" s="76" t="n">
        <v>45564</v>
      </c>
      <c r="M227" s="76" t="n">
        <v>46201</v>
      </c>
      <c r="N227" s="79" t="n">
        <v>-6</v>
      </c>
      <c r="O227" s="75" t="s">
        <v>95</v>
      </c>
      <c r="P227" s="77"/>
    </row>
    <row r="228" customFormat="false" ht="15" hidden="false" customHeight="true" outlineLevel="0" collapsed="false">
      <c r="A228" s="70" t="s">
        <v>806</v>
      </c>
      <c r="B228" s="71" t="n">
        <v>45442</v>
      </c>
      <c r="C228" s="72" t="s">
        <v>807</v>
      </c>
      <c r="D228" s="70" t="s">
        <v>808</v>
      </c>
      <c r="E228" s="70" t="s">
        <v>117</v>
      </c>
      <c r="F228" s="73" t="n">
        <v>24200000</v>
      </c>
      <c r="G228" s="72" t="s">
        <v>159</v>
      </c>
      <c r="H228" s="70" t="s">
        <v>110</v>
      </c>
      <c r="I228" s="70" t="s">
        <v>111</v>
      </c>
      <c r="J228" s="72" t="s">
        <v>93</v>
      </c>
      <c r="K228" s="70" t="s">
        <v>104</v>
      </c>
      <c r="L228" s="71" t="n">
        <v>45444</v>
      </c>
      <c r="M228" s="71" t="n">
        <v>46198</v>
      </c>
      <c r="N228" s="74" t="n">
        <v>-3</v>
      </c>
      <c r="O228" s="70" t="s">
        <v>95</v>
      </c>
      <c r="P228" s="72"/>
    </row>
    <row r="229" customFormat="false" ht="15" hidden="false" customHeight="true" outlineLevel="0" collapsed="false">
      <c r="A229" s="75" t="s">
        <v>809</v>
      </c>
      <c r="B229" s="76" t="n">
        <v>45658</v>
      </c>
      <c r="C229" s="77" t="s">
        <v>810</v>
      </c>
      <c r="D229" s="75" t="s">
        <v>811</v>
      </c>
      <c r="E229" s="75" t="s">
        <v>136</v>
      </c>
      <c r="F229" s="78" t="n">
        <v>19200000</v>
      </c>
      <c r="G229" s="77" t="s">
        <v>109</v>
      </c>
      <c r="H229" s="75" t="s">
        <v>101</v>
      </c>
      <c r="I229" s="75" t="s">
        <v>119</v>
      </c>
      <c r="J229" s="77" t="s">
        <v>170</v>
      </c>
      <c r="K229" s="75" t="s">
        <v>161</v>
      </c>
      <c r="L229" s="76" t="n">
        <v>45660</v>
      </c>
      <c r="M229" s="76" t="n">
        <v>46204</v>
      </c>
      <c r="N229" s="79" t="n">
        <v>-9</v>
      </c>
      <c r="O229" s="75" t="s">
        <v>95</v>
      </c>
      <c r="P229" s="77"/>
    </row>
    <row r="230" customFormat="false" ht="15" hidden="false" customHeight="true" outlineLevel="0" collapsed="false">
      <c r="A230" s="70" t="s">
        <v>812</v>
      </c>
      <c r="B230" s="71" t="n">
        <v>45631</v>
      </c>
      <c r="C230" s="72" t="s">
        <v>813</v>
      </c>
      <c r="D230" s="70" t="s">
        <v>814</v>
      </c>
      <c r="E230" s="70" t="s">
        <v>129</v>
      </c>
      <c r="F230" s="73" t="n">
        <v>14600000</v>
      </c>
      <c r="G230" s="72" t="s">
        <v>130</v>
      </c>
      <c r="H230" s="70" t="s">
        <v>174</v>
      </c>
      <c r="I230" s="70" t="s">
        <v>102</v>
      </c>
      <c r="J230" s="72" t="s">
        <v>209</v>
      </c>
      <c r="K230" s="70" t="s">
        <v>205</v>
      </c>
      <c r="L230" s="71" t="n">
        <v>45633</v>
      </c>
      <c r="M230" s="71" t="n">
        <v>45635</v>
      </c>
      <c r="N230" s="74" t="n">
        <v>560</v>
      </c>
      <c r="O230" s="70" t="s">
        <v>113</v>
      </c>
      <c r="P230" s="72"/>
    </row>
    <row r="231" customFormat="false" ht="15" hidden="false" customHeight="true" outlineLevel="0" collapsed="false">
      <c r="A231" s="75" t="s">
        <v>815</v>
      </c>
      <c r="B231" s="76" t="n">
        <v>45610</v>
      </c>
      <c r="C231" s="77" t="s">
        <v>816</v>
      </c>
      <c r="D231" s="75" t="s">
        <v>817</v>
      </c>
      <c r="E231" s="75" t="s">
        <v>155</v>
      </c>
      <c r="F231" s="78" t="n">
        <v>14900000</v>
      </c>
      <c r="G231" s="77" t="s">
        <v>166</v>
      </c>
      <c r="H231" s="75" t="s">
        <v>174</v>
      </c>
      <c r="I231" s="75" t="s">
        <v>119</v>
      </c>
      <c r="J231" s="77" t="s">
        <v>191</v>
      </c>
      <c r="K231" s="75" t="s">
        <v>94</v>
      </c>
      <c r="L231" s="76" t="n">
        <v>45614</v>
      </c>
      <c r="M231" s="76" t="n">
        <v>46192</v>
      </c>
      <c r="N231" s="79" t="n">
        <v>3</v>
      </c>
      <c r="O231" s="75" t="s">
        <v>113</v>
      </c>
      <c r="P231" s="77"/>
    </row>
    <row r="232" customFormat="false" ht="15" hidden="false" customHeight="true" outlineLevel="0" collapsed="false">
      <c r="A232" s="70" t="s">
        <v>818</v>
      </c>
      <c r="B232" s="71" t="n">
        <v>45617</v>
      </c>
      <c r="C232" s="72" t="s">
        <v>819</v>
      </c>
      <c r="D232" s="70" t="s">
        <v>820</v>
      </c>
      <c r="E232" s="70" t="s">
        <v>239</v>
      </c>
      <c r="F232" s="73" t="n">
        <v>11400000</v>
      </c>
      <c r="G232" s="72" t="s">
        <v>195</v>
      </c>
      <c r="H232" s="70" t="s">
        <v>131</v>
      </c>
      <c r="I232" s="70" t="s">
        <v>137</v>
      </c>
      <c r="J232" s="72" t="s">
        <v>112</v>
      </c>
      <c r="K232" s="70" t="s">
        <v>104</v>
      </c>
      <c r="L232" s="71" t="n">
        <v>45622</v>
      </c>
      <c r="M232" s="71" t="n">
        <v>46210</v>
      </c>
      <c r="N232" s="74" t="n">
        <v>-15</v>
      </c>
      <c r="O232" s="70" t="s">
        <v>95</v>
      </c>
      <c r="P232" s="72"/>
    </row>
    <row r="233" customFormat="false" ht="15" hidden="false" customHeight="true" outlineLevel="0" collapsed="false">
      <c r="A233" s="75" t="s">
        <v>821</v>
      </c>
      <c r="B233" s="76" t="n">
        <v>45608</v>
      </c>
      <c r="C233" s="77" t="s">
        <v>816</v>
      </c>
      <c r="D233" s="75" t="s">
        <v>822</v>
      </c>
      <c r="E233" s="75" t="s">
        <v>141</v>
      </c>
      <c r="F233" s="78" t="n">
        <v>12600000</v>
      </c>
      <c r="G233" s="77" t="s">
        <v>159</v>
      </c>
      <c r="H233" s="75" t="s">
        <v>131</v>
      </c>
      <c r="I233" s="75" t="s">
        <v>137</v>
      </c>
      <c r="J233" s="77" t="s">
        <v>178</v>
      </c>
      <c r="K233" s="75" t="s">
        <v>125</v>
      </c>
      <c r="L233" s="76" t="n">
        <v>45613</v>
      </c>
      <c r="M233" s="76" t="n">
        <v>45615</v>
      </c>
      <c r="N233" s="79" t="n">
        <v>580</v>
      </c>
      <c r="O233" s="75" t="s">
        <v>113</v>
      </c>
      <c r="P233" s="77"/>
    </row>
    <row r="234" customFormat="false" ht="15" hidden="false" customHeight="true" outlineLevel="0" collapsed="false">
      <c r="A234" s="70" t="s">
        <v>823</v>
      </c>
      <c r="B234" s="71" t="n">
        <v>45443</v>
      </c>
      <c r="C234" s="72" t="s">
        <v>824</v>
      </c>
      <c r="D234" s="70" t="s">
        <v>825</v>
      </c>
      <c r="E234" s="70" t="s">
        <v>108</v>
      </c>
      <c r="F234" s="73" t="n">
        <v>12400000</v>
      </c>
      <c r="G234" s="72" t="s">
        <v>166</v>
      </c>
      <c r="H234" s="70" t="s">
        <v>131</v>
      </c>
      <c r="I234" s="70" t="s">
        <v>160</v>
      </c>
      <c r="J234" s="72" t="s">
        <v>93</v>
      </c>
      <c r="K234" s="70" t="s">
        <v>143</v>
      </c>
      <c r="L234" s="71" t="n">
        <v>45445</v>
      </c>
      <c r="M234" s="71" t="n">
        <v>46193</v>
      </c>
      <c r="N234" s="74" t="n">
        <v>2</v>
      </c>
      <c r="O234" s="70" t="s">
        <v>113</v>
      </c>
      <c r="P234" s="72"/>
    </row>
    <row r="235" customFormat="false" ht="15" hidden="false" customHeight="true" outlineLevel="0" collapsed="false">
      <c r="A235" s="75" t="s">
        <v>826</v>
      </c>
      <c r="B235" s="76" t="n">
        <v>45413</v>
      </c>
      <c r="C235" s="77" t="s">
        <v>827</v>
      </c>
      <c r="D235" s="75" t="s">
        <v>828</v>
      </c>
      <c r="E235" s="75" t="s">
        <v>155</v>
      </c>
      <c r="F235" s="78" t="n">
        <v>9100000</v>
      </c>
      <c r="G235" s="77" t="s">
        <v>186</v>
      </c>
      <c r="H235" s="75" t="s">
        <v>91</v>
      </c>
      <c r="I235" s="75" t="s">
        <v>92</v>
      </c>
      <c r="J235" s="77" t="s">
        <v>124</v>
      </c>
      <c r="K235" s="75" t="s">
        <v>125</v>
      </c>
      <c r="L235" s="76" t="n">
        <v>45418</v>
      </c>
      <c r="M235" s="76" t="n">
        <v>45421</v>
      </c>
      <c r="N235" s="79" t="n">
        <v>774</v>
      </c>
      <c r="O235" s="75" t="s">
        <v>113</v>
      </c>
      <c r="P235" s="77"/>
    </row>
    <row r="236" customFormat="false" ht="15" hidden="false" customHeight="true" outlineLevel="0" collapsed="false">
      <c r="A236" s="70" t="s">
        <v>829</v>
      </c>
      <c r="B236" s="71" t="n">
        <v>45646</v>
      </c>
      <c r="C236" s="72" t="s">
        <v>830</v>
      </c>
      <c r="D236" s="70" t="s">
        <v>831</v>
      </c>
      <c r="E236" s="70" t="s">
        <v>129</v>
      </c>
      <c r="F236" s="73" t="n">
        <v>26900000</v>
      </c>
      <c r="G236" s="72" t="s">
        <v>130</v>
      </c>
      <c r="H236" s="70" t="s">
        <v>110</v>
      </c>
      <c r="I236" s="70" t="s">
        <v>111</v>
      </c>
      <c r="J236" s="72" t="s">
        <v>148</v>
      </c>
      <c r="K236" s="70" t="s">
        <v>104</v>
      </c>
      <c r="L236" s="71" t="n">
        <v>45647</v>
      </c>
      <c r="M236" s="71" t="n">
        <v>46191</v>
      </c>
      <c r="N236" s="74" t="n">
        <v>4</v>
      </c>
      <c r="O236" s="70" t="s">
        <v>113</v>
      </c>
      <c r="P236" s="72"/>
    </row>
    <row r="237" customFormat="false" ht="15" hidden="false" customHeight="true" outlineLevel="0" collapsed="false">
      <c r="A237" s="75" t="s">
        <v>832</v>
      </c>
      <c r="B237" s="76" t="n">
        <v>45509</v>
      </c>
      <c r="C237" s="77" t="s">
        <v>833</v>
      </c>
      <c r="D237" s="75" t="s">
        <v>834</v>
      </c>
      <c r="E237" s="75" t="s">
        <v>155</v>
      </c>
      <c r="F237" s="78" t="n">
        <v>24200000</v>
      </c>
      <c r="G237" s="77" t="s">
        <v>109</v>
      </c>
      <c r="H237" s="75" t="s">
        <v>110</v>
      </c>
      <c r="I237" s="75" t="s">
        <v>92</v>
      </c>
      <c r="J237" s="77" t="s">
        <v>170</v>
      </c>
      <c r="K237" s="75" t="s">
        <v>94</v>
      </c>
      <c r="L237" s="76" t="n">
        <v>45513</v>
      </c>
      <c r="M237" s="76" t="n">
        <v>46202</v>
      </c>
      <c r="N237" s="79" t="n">
        <v>-7</v>
      </c>
      <c r="O237" s="75" t="s">
        <v>95</v>
      </c>
      <c r="P237" s="77"/>
    </row>
    <row r="238" customFormat="false" ht="15" hidden="false" customHeight="true" outlineLevel="0" collapsed="false">
      <c r="A238" s="70" t="s">
        <v>835</v>
      </c>
      <c r="B238" s="71" t="n">
        <v>45525</v>
      </c>
      <c r="C238" s="72" t="s">
        <v>836</v>
      </c>
      <c r="D238" s="70" t="s">
        <v>837</v>
      </c>
      <c r="E238" s="70" t="s">
        <v>136</v>
      </c>
      <c r="F238" s="73" t="n">
        <v>5800000</v>
      </c>
      <c r="G238" s="72" t="s">
        <v>166</v>
      </c>
      <c r="H238" s="70" t="s">
        <v>118</v>
      </c>
      <c r="I238" s="70" t="s">
        <v>160</v>
      </c>
      <c r="J238" s="72" t="s">
        <v>93</v>
      </c>
      <c r="K238" s="70" t="s">
        <v>143</v>
      </c>
      <c r="L238" s="71" t="n">
        <v>45528</v>
      </c>
      <c r="M238" s="71" t="n">
        <v>46201</v>
      </c>
      <c r="N238" s="74" t="n">
        <v>-6</v>
      </c>
      <c r="O238" s="70" t="s">
        <v>95</v>
      </c>
      <c r="P238" s="72"/>
    </row>
    <row r="239" customFormat="false" ht="15" hidden="false" customHeight="true" outlineLevel="0" collapsed="false">
      <c r="A239" s="75" t="s">
        <v>838</v>
      </c>
      <c r="B239" s="76" t="n">
        <v>45656</v>
      </c>
      <c r="C239" s="77" t="s">
        <v>839</v>
      </c>
      <c r="D239" s="75" t="s">
        <v>840</v>
      </c>
      <c r="E239" s="75" t="s">
        <v>89</v>
      </c>
      <c r="F239" s="78" t="n">
        <v>29700000</v>
      </c>
      <c r="G239" s="77" t="s">
        <v>159</v>
      </c>
      <c r="H239" s="75" t="s">
        <v>110</v>
      </c>
      <c r="I239" s="75" t="s">
        <v>85</v>
      </c>
      <c r="J239" s="77" t="s">
        <v>209</v>
      </c>
      <c r="K239" s="75" t="s">
        <v>125</v>
      </c>
      <c r="L239" s="76" t="n">
        <v>45660</v>
      </c>
      <c r="M239" s="76" t="n">
        <v>45662</v>
      </c>
      <c r="N239" s="79" t="n">
        <v>533</v>
      </c>
      <c r="O239" s="75" t="s">
        <v>113</v>
      </c>
      <c r="P239" s="77" t="s">
        <v>187</v>
      </c>
    </row>
    <row r="240" customFormat="false" ht="15" hidden="false" customHeight="true" outlineLevel="0" collapsed="false">
      <c r="A240" s="70" t="s">
        <v>841</v>
      </c>
      <c r="B240" s="71" t="n">
        <v>45407</v>
      </c>
      <c r="C240" s="72" t="s">
        <v>842</v>
      </c>
      <c r="D240" s="70" t="s">
        <v>843</v>
      </c>
      <c r="E240" s="70" t="s">
        <v>165</v>
      </c>
      <c r="F240" s="73" t="n">
        <v>10600000</v>
      </c>
      <c r="G240" s="72" t="s">
        <v>90</v>
      </c>
      <c r="H240" s="70" t="s">
        <v>131</v>
      </c>
      <c r="I240" s="70" t="s">
        <v>137</v>
      </c>
      <c r="J240" s="72" t="s">
        <v>142</v>
      </c>
      <c r="K240" s="70" t="s">
        <v>125</v>
      </c>
      <c r="L240" s="71" t="n">
        <v>45408</v>
      </c>
      <c r="M240" s="71" t="n">
        <v>45409</v>
      </c>
      <c r="N240" s="74" t="n">
        <v>786</v>
      </c>
      <c r="O240" s="70" t="s">
        <v>113</v>
      </c>
      <c r="P240" s="72"/>
    </row>
    <row r="241" customFormat="false" ht="15" hidden="false" customHeight="true" outlineLevel="0" collapsed="false">
      <c r="A241" s="75" t="s">
        <v>844</v>
      </c>
      <c r="B241" s="76" t="n">
        <v>45450</v>
      </c>
      <c r="C241" s="77" t="s">
        <v>845</v>
      </c>
      <c r="D241" s="75" t="s">
        <v>846</v>
      </c>
      <c r="E241" s="75" t="s">
        <v>129</v>
      </c>
      <c r="F241" s="78" t="n">
        <v>12000000</v>
      </c>
      <c r="G241" s="77" t="s">
        <v>166</v>
      </c>
      <c r="H241" s="75" t="s">
        <v>174</v>
      </c>
      <c r="I241" s="75" t="s">
        <v>119</v>
      </c>
      <c r="J241" s="77" t="s">
        <v>124</v>
      </c>
      <c r="K241" s="75" t="s">
        <v>205</v>
      </c>
      <c r="L241" s="76" t="n">
        <v>45453</v>
      </c>
      <c r="M241" s="76" t="n">
        <v>45455</v>
      </c>
      <c r="N241" s="79" t="n">
        <v>740</v>
      </c>
      <c r="O241" s="75" t="s">
        <v>113</v>
      </c>
      <c r="P241" s="77"/>
    </row>
    <row r="242" customFormat="false" ht="15" hidden="false" customHeight="true" outlineLevel="0" collapsed="false">
      <c r="A242" s="70" t="s">
        <v>847</v>
      </c>
      <c r="B242" s="71" t="n">
        <v>45502</v>
      </c>
      <c r="C242" s="72" t="s">
        <v>529</v>
      </c>
      <c r="D242" s="70" t="s">
        <v>848</v>
      </c>
      <c r="E242" s="70" t="s">
        <v>239</v>
      </c>
      <c r="F242" s="73" t="n">
        <v>10900000</v>
      </c>
      <c r="G242" s="72" t="s">
        <v>159</v>
      </c>
      <c r="H242" s="70" t="s">
        <v>131</v>
      </c>
      <c r="I242" s="70" t="s">
        <v>102</v>
      </c>
      <c r="J242" s="72" t="s">
        <v>191</v>
      </c>
      <c r="K242" s="70" t="s">
        <v>94</v>
      </c>
      <c r="L242" s="71" t="n">
        <v>45506</v>
      </c>
      <c r="M242" s="71" t="n">
        <v>46207</v>
      </c>
      <c r="N242" s="74" t="n">
        <v>-12</v>
      </c>
      <c r="O242" s="70" t="s">
        <v>95</v>
      </c>
      <c r="P242" s="72"/>
    </row>
    <row r="243" customFormat="false" ht="15" hidden="false" customHeight="true" outlineLevel="0" collapsed="false">
      <c r="A243" s="75" t="s">
        <v>849</v>
      </c>
      <c r="B243" s="76" t="n">
        <v>45387</v>
      </c>
      <c r="C243" s="77" t="s">
        <v>683</v>
      </c>
      <c r="D243" s="75" t="s">
        <v>850</v>
      </c>
      <c r="E243" s="75" t="s">
        <v>214</v>
      </c>
      <c r="F243" s="78" t="n">
        <v>9000000</v>
      </c>
      <c r="G243" s="77" t="s">
        <v>159</v>
      </c>
      <c r="H243" s="75" t="s">
        <v>91</v>
      </c>
      <c r="I243" s="75" t="s">
        <v>92</v>
      </c>
      <c r="J243" s="77" t="s">
        <v>103</v>
      </c>
      <c r="K243" s="75" t="s">
        <v>94</v>
      </c>
      <c r="L243" s="76" t="n">
        <v>45388</v>
      </c>
      <c r="M243" s="76" t="n">
        <v>46209</v>
      </c>
      <c r="N243" s="79" t="n">
        <v>-14</v>
      </c>
      <c r="O243" s="75" t="s">
        <v>95</v>
      </c>
      <c r="P243" s="77"/>
    </row>
    <row r="244" customFormat="false" ht="15" hidden="false" customHeight="true" outlineLevel="0" collapsed="false">
      <c r="A244" s="70" t="s">
        <v>851</v>
      </c>
      <c r="B244" s="71" t="n">
        <v>45571</v>
      </c>
      <c r="C244" s="72" t="s">
        <v>852</v>
      </c>
      <c r="D244" s="70" t="s">
        <v>853</v>
      </c>
      <c r="E244" s="70" t="s">
        <v>214</v>
      </c>
      <c r="F244" s="73" t="n">
        <v>8100000</v>
      </c>
      <c r="G244" s="72" t="s">
        <v>159</v>
      </c>
      <c r="H244" s="70" t="s">
        <v>91</v>
      </c>
      <c r="I244" s="70" t="s">
        <v>102</v>
      </c>
      <c r="J244" s="72" t="s">
        <v>93</v>
      </c>
      <c r="K244" s="70" t="s">
        <v>120</v>
      </c>
      <c r="L244" s="71" t="n">
        <v>45574</v>
      </c>
      <c r="M244" s="71" t="n">
        <v>46191</v>
      </c>
      <c r="N244" s="74" t="n">
        <v>4</v>
      </c>
      <c r="O244" s="70" t="s">
        <v>113</v>
      </c>
      <c r="P244" s="72"/>
    </row>
    <row r="245" customFormat="false" ht="15" hidden="false" customHeight="true" outlineLevel="0" collapsed="false">
      <c r="A245" s="75" t="s">
        <v>854</v>
      </c>
      <c r="B245" s="76" t="n">
        <v>45492</v>
      </c>
      <c r="C245" s="77" t="s">
        <v>376</v>
      </c>
      <c r="D245" s="75" t="s">
        <v>855</v>
      </c>
      <c r="E245" s="75" t="s">
        <v>147</v>
      </c>
      <c r="F245" s="78" t="n">
        <v>21500000</v>
      </c>
      <c r="G245" s="77" t="s">
        <v>195</v>
      </c>
      <c r="H245" s="75" t="s">
        <v>101</v>
      </c>
      <c r="I245" s="75" t="s">
        <v>92</v>
      </c>
      <c r="J245" s="77" t="s">
        <v>142</v>
      </c>
      <c r="K245" s="75" t="s">
        <v>143</v>
      </c>
      <c r="L245" s="76" t="n">
        <v>45494</v>
      </c>
      <c r="M245" s="76" t="n">
        <v>46200</v>
      </c>
      <c r="N245" s="79" t="n">
        <v>-5</v>
      </c>
      <c r="O245" s="75" t="s">
        <v>95</v>
      </c>
      <c r="P245" s="77"/>
    </row>
    <row r="246" customFormat="false" ht="15" hidden="false" customHeight="true" outlineLevel="0" collapsed="false">
      <c r="A246" s="70" t="s">
        <v>856</v>
      </c>
      <c r="B246" s="71" t="n">
        <v>45602</v>
      </c>
      <c r="C246" s="72" t="s">
        <v>857</v>
      </c>
      <c r="D246" s="70" t="s">
        <v>858</v>
      </c>
      <c r="E246" s="70" t="s">
        <v>141</v>
      </c>
      <c r="F246" s="73" t="n">
        <v>7000000</v>
      </c>
      <c r="G246" s="72" t="s">
        <v>159</v>
      </c>
      <c r="H246" s="70" t="s">
        <v>91</v>
      </c>
      <c r="I246" s="70" t="s">
        <v>137</v>
      </c>
      <c r="J246" s="72" t="s">
        <v>191</v>
      </c>
      <c r="K246" s="70" t="s">
        <v>143</v>
      </c>
      <c r="L246" s="71" t="n">
        <v>45605</v>
      </c>
      <c r="M246" s="71" t="n">
        <v>46191</v>
      </c>
      <c r="N246" s="74" t="n">
        <v>4</v>
      </c>
      <c r="O246" s="70" t="s">
        <v>113</v>
      </c>
      <c r="P246" s="72"/>
    </row>
    <row r="247" customFormat="false" ht="15" hidden="false" customHeight="true" outlineLevel="0" collapsed="false">
      <c r="A247" s="75" t="s">
        <v>859</v>
      </c>
      <c r="B247" s="76" t="n">
        <v>45693</v>
      </c>
      <c r="C247" s="77" t="s">
        <v>860</v>
      </c>
      <c r="D247" s="75" t="s">
        <v>861</v>
      </c>
      <c r="E247" s="75" t="s">
        <v>147</v>
      </c>
      <c r="F247" s="78" t="n">
        <v>22500000</v>
      </c>
      <c r="G247" s="77" t="s">
        <v>90</v>
      </c>
      <c r="H247" s="75" t="s">
        <v>110</v>
      </c>
      <c r="I247" s="75" t="s">
        <v>160</v>
      </c>
      <c r="J247" s="77" t="s">
        <v>112</v>
      </c>
      <c r="K247" s="75" t="s">
        <v>104</v>
      </c>
      <c r="L247" s="76" t="n">
        <v>45698</v>
      </c>
      <c r="M247" s="76" t="n">
        <v>46193</v>
      </c>
      <c r="N247" s="79" t="n">
        <v>2</v>
      </c>
      <c r="O247" s="75" t="s">
        <v>113</v>
      </c>
      <c r="P247" s="77"/>
    </row>
    <row r="248" customFormat="false" ht="15" hidden="false" customHeight="true" outlineLevel="0" collapsed="false">
      <c r="A248" s="70" t="s">
        <v>862</v>
      </c>
      <c r="B248" s="71" t="n">
        <v>45419</v>
      </c>
      <c r="C248" s="72" t="s">
        <v>863</v>
      </c>
      <c r="D248" s="70" t="s">
        <v>864</v>
      </c>
      <c r="E248" s="70" t="s">
        <v>99</v>
      </c>
      <c r="F248" s="73" t="n">
        <v>12500000</v>
      </c>
      <c r="G248" s="72" t="s">
        <v>166</v>
      </c>
      <c r="H248" s="70" t="s">
        <v>174</v>
      </c>
      <c r="I248" s="70" t="s">
        <v>92</v>
      </c>
      <c r="J248" s="72" t="s">
        <v>142</v>
      </c>
      <c r="K248" s="70" t="s">
        <v>94</v>
      </c>
      <c r="L248" s="71" t="n">
        <v>45424</v>
      </c>
      <c r="M248" s="71" t="n">
        <v>46187</v>
      </c>
      <c r="N248" s="74" t="n">
        <v>8</v>
      </c>
      <c r="O248" s="70" t="s">
        <v>113</v>
      </c>
      <c r="P248" s="72"/>
    </row>
    <row r="249" customFormat="false" ht="15" hidden="false" customHeight="true" outlineLevel="0" collapsed="false">
      <c r="A249" s="75" t="s">
        <v>865</v>
      </c>
      <c r="B249" s="76" t="n">
        <v>45420</v>
      </c>
      <c r="C249" s="77" t="s">
        <v>414</v>
      </c>
      <c r="D249" s="75" t="s">
        <v>866</v>
      </c>
      <c r="E249" s="75" t="s">
        <v>117</v>
      </c>
      <c r="F249" s="78" t="n">
        <v>10900000</v>
      </c>
      <c r="G249" s="77" t="s">
        <v>186</v>
      </c>
      <c r="H249" s="75" t="s">
        <v>131</v>
      </c>
      <c r="I249" s="75" t="s">
        <v>160</v>
      </c>
      <c r="J249" s="77" t="s">
        <v>142</v>
      </c>
      <c r="K249" s="75" t="s">
        <v>205</v>
      </c>
      <c r="L249" s="76" t="n">
        <v>45421</v>
      </c>
      <c r="M249" s="76" t="n">
        <v>45426</v>
      </c>
      <c r="N249" s="79" t="n">
        <v>769</v>
      </c>
      <c r="O249" s="75" t="s">
        <v>113</v>
      </c>
      <c r="P249" s="77"/>
    </row>
    <row r="250" customFormat="false" ht="15" hidden="false" customHeight="true" outlineLevel="0" collapsed="false">
      <c r="A250" s="70" t="s">
        <v>867</v>
      </c>
      <c r="B250" s="71" t="n">
        <v>45599</v>
      </c>
      <c r="C250" s="72" t="s">
        <v>868</v>
      </c>
      <c r="D250" s="70" t="s">
        <v>869</v>
      </c>
      <c r="E250" s="70" t="s">
        <v>108</v>
      </c>
      <c r="F250" s="73" t="n">
        <v>14100000</v>
      </c>
      <c r="G250" s="72" t="s">
        <v>195</v>
      </c>
      <c r="H250" s="70" t="s">
        <v>174</v>
      </c>
      <c r="I250" s="70" t="s">
        <v>111</v>
      </c>
      <c r="J250" s="72" t="s">
        <v>103</v>
      </c>
      <c r="K250" s="70" t="s">
        <v>125</v>
      </c>
      <c r="L250" s="71" t="n">
        <v>45603</v>
      </c>
      <c r="M250" s="71" t="n">
        <v>45604</v>
      </c>
      <c r="N250" s="74" t="n">
        <v>591</v>
      </c>
      <c r="O250" s="70" t="s">
        <v>113</v>
      </c>
      <c r="P250" s="72"/>
    </row>
    <row r="251" customFormat="false" ht="15" hidden="false" customHeight="true" outlineLevel="0" collapsed="false">
      <c r="A251" s="75" t="s">
        <v>870</v>
      </c>
      <c r="B251" s="76" t="n">
        <v>45462</v>
      </c>
      <c r="C251" s="77" t="s">
        <v>871</v>
      </c>
      <c r="D251" s="75" t="s">
        <v>872</v>
      </c>
      <c r="E251" s="75" t="s">
        <v>129</v>
      </c>
      <c r="F251" s="78" t="n">
        <v>5100000</v>
      </c>
      <c r="G251" s="77" t="s">
        <v>90</v>
      </c>
      <c r="H251" s="75" t="s">
        <v>118</v>
      </c>
      <c r="I251" s="75" t="s">
        <v>102</v>
      </c>
      <c r="J251" s="77" t="s">
        <v>103</v>
      </c>
      <c r="K251" s="75" t="s">
        <v>205</v>
      </c>
      <c r="L251" s="76" t="n">
        <v>45467</v>
      </c>
      <c r="M251" s="76" t="n">
        <v>45470</v>
      </c>
      <c r="N251" s="79" t="n">
        <v>725</v>
      </c>
      <c r="O251" s="75" t="s">
        <v>113</v>
      </c>
      <c r="P251" s="77"/>
    </row>
    <row r="252" customFormat="false" ht="15" hidden="false" customHeight="true" outlineLevel="0" collapsed="false">
      <c r="A252" s="70" t="s">
        <v>873</v>
      </c>
      <c r="B252" s="71" t="n">
        <v>45605</v>
      </c>
      <c r="C252" s="72" t="s">
        <v>874</v>
      </c>
      <c r="D252" s="70" t="s">
        <v>875</v>
      </c>
      <c r="E252" s="70" t="s">
        <v>89</v>
      </c>
      <c r="F252" s="73" t="n">
        <v>26000000</v>
      </c>
      <c r="G252" s="72" t="s">
        <v>186</v>
      </c>
      <c r="H252" s="70" t="s">
        <v>110</v>
      </c>
      <c r="I252" s="70" t="s">
        <v>102</v>
      </c>
      <c r="J252" s="72" t="s">
        <v>124</v>
      </c>
      <c r="K252" s="70" t="s">
        <v>120</v>
      </c>
      <c r="L252" s="71" t="n">
        <v>45606</v>
      </c>
      <c r="M252" s="71" t="n">
        <v>46212</v>
      </c>
      <c r="N252" s="74" t="n">
        <v>-17</v>
      </c>
      <c r="O252" s="70" t="s">
        <v>95</v>
      </c>
      <c r="P252" s="72"/>
    </row>
    <row r="253" customFormat="false" ht="15" hidden="false" customHeight="true" outlineLevel="0" collapsed="false">
      <c r="A253" s="75" t="s">
        <v>876</v>
      </c>
      <c r="B253" s="76" t="n">
        <v>45466</v>
      </c>
      <c r="C253" s="77" t="s">
        <v>877</v>
      </c>
      <c r="D253" s="75" t="s">
        <v>878</v>
      </c>
      <c r="E253" s="75" t="s">
        <v>155</v>
      </c>
      <c r="F253" s="78" t="n">
        <v>4500000</v>
      </c>
      <c r="G253" s="77" t="s">
        <v>109</v>
      </c>
      <c r="H253" s="75" t="s">
        <v>118</v>
      </c>
      <c r="I253" s="75" t="s">
        <v>85</v>
      </c>
      <c r="J253" s="77" t="s">
        <v>170</v>
      </c>
      <c r="K253" s="75" t="s">
        <v>94</v>
      </c>
      <c r="L253" s="76" t="n">
        <v>45470</v>
      </c>
      <c r="M253" s="76" t="n">
        <v>46198</v>
      </c>
      <c r="N253" s="79" t="n">
        <v>-3</v>
      </c>
      <c r="O253" s="75" t="s">
        <v>95</v>
      </c>
      <c r="P253" s="77" t="s">
        <v>210</v>
      </c>
    </row>
    <row r="254" customFormat="false" ht="15" hidden="false" customHeight="true" outlineLevel="0" collapsed="false">
      <c r="A254" s="70" t="s">
        <v>879</v>
      </c>
      <c r="B254" s="71" t="n">
        <v>45415</v>
      </c>
      <c r="C254" s="72" t="s">
        <v>880</v>
      </c>
      <c r="D254" s="70" t="s">
        <v>881</v>
      </c>
      <c r="E254" s="70" t="s">
        <v>89</v>
      </c>
      <c r="F254" s="73" t="n">
        <v>5200000</v>
      </c>
      <c r="G254" s="72" t="s">
        <v>159</v>
      </c>
      <c r="H254" s="70" t="s">
        <v>118</v>
      </c>
      <c r="I254" s="70" t="s">
        <v>160</v>
      </c>
      <c r="J254" s="72" t="s">
        <v>191</v>
      </c>
      <c r="K254" s="70" t="s">
        <v>104</v>
      </c>
      <c r="L254" s="71" t="n">
        <v>45418</v>
      </c>
      <c r="M254" s="71" t="n">
        <v>46209</v>
      </c>
      <c r="N254" s="74" t="n">
        <v>-14</v>
      </c>
      <c r="O254" s="70" t="s">
        <v>95</v>
      </c>
      <c r="P254" s="72"/>
    </row>
    <row r="255" customFormat="false" ht="15" hidden="false" customHeight="true" outlineLevel="0" collapsed="false">
      <c r="A255" s="75" t="s">
        <v>882</v>
      </c>
      <c r="B255" s="76" t="n">
        <v>45463</v>
      </c>
      <c r="C255" s="77" t="s">
        <v>883</v>
      </c>
      <c r="D255" s="75" t="s">
        <v>884</v>
      </c>
      <c r="E255" s="75" t="s">
        <v>214</v>
      </c>
      <c r="F255" s="78" t="n">
        <v>5500000</v>
      </c>
      <c r="G255" s="77" t="s">
        <v>130</v>
      </c>
      <c r="H255" s="75" t="s">
        <v>118</v>
      </c>
      <c r="I255" s="75" t="s">
        <v>160</v>
      </c>
      <c r="J255" s="77" t="s">
        <v>148</v>
      </c>
      <c r="K255" s="75" t="s">
        <v>104</v>
      </c>
      <c r="L255" s="76" t="n">
        <v>45466</v>
      </c>
      <c r="M255" s="76" t="n">
        <v>46190</v>
      </c>
      <c r="N255" s="79" t="n">
        <v>5</v>
      </c>
      <c r="O255" s="75" t="s">
        <v>113</v>
      </c>
      <c r="P255" s="77"/>
    </row>
    <row r="256" customFormat="false" ht="15" hidden="false" customHeight="true" outlineLevel="0" collapsed="false">
      <c r="A256" s="70" t="s">
        <v>885</v>
      </c>
      <c r="B256" s="71" t="n">
        <v>45624</v>
      </c>
      <c r="C256" s="72" t="s">
        <v>886</v>
      </c>
      <c r="D256" s="70" t="s">
        <v>887</v>
      </c>
      <c r="E256" s="70" t="s">
        <v>89</v>
      </c>
      <c r="F256" s="73" t="n">
        <v>6300000</v>
      </c>
      <c r="G256" s="72" t="s">
        <v>195</v>
      </c>
      <c r="H256" s="70" t="s">
        <v>118</v>
      </c>
      <c r="I256" s="70" t="s">
        <v>160</v>
      </c>
      <c r="J256" s="72" t="s">
        <v>178</v>
      </c>
      <c r="K256" s="70" t="s">
        <v>104</v>
      </c>
      <c r="L256" s="71" t="n">
        <v>45627</v>
      </c>
      <c r="M256" s="71" t="n">
        <v>46199</v>
      </c>
      <c r="N256" s="74" t="n">
        <v>-4</v>
      </c>
      <c r="O256" s="70" t="s">
        <v>95</v>
      </c>
      <c r="P256" s="72"/>
    </row>
    <row r="257" customFormat="false" ht="15" hidden="false" customHeight="true" outlineLevel="0" collapsed="false">
      <c r="A257" s="75" t="s">
        <v>888</v>
      </c>
      <c r="B257" s="76" t="n">
        <v>45546</v>
      </c>
      <c r="C257" s="77" t="s">
        <v>889</v>
      </c>
      <c r="D257" s="75" t="s">
        <v>890</v>
      </c>
      <c r="E257" s="75" t="s">
        <v>89</v>
      </c>
      <c r="F257" s="78" t="n">
        <v>7800000</v>
      </c>
      <c r="G257" s="77" t="s">
        <v>186</v>
      </c>
      <c r="H257" s="75" t="s">
        <v>91</v>
      </c>
      <c r="I257" s="75" t="s">
        <v>92</v>
      </c>
      <c r="J257" s="77" t="s">
        <v>191</v>
      </c>
      <c r="K257" s="75" t="s">
        <v>205</v>
      </c>
      <c r="L257" s="76" t="n">
        <v>45549</v>
      </c>
      <c r="M257" s="76" t="n">
        <v>45550</v>
      </c>
      <c r="N257" s="79" t="n">
        <v>645</v>
      </c>
      <c r="O257" s="75" t="s">
        <v>113</v>
      </c>
      <c r="P257" s="77"/>
    </row>
    <row r="258" customFormat="false" ht="15" hidden="false" customHeight="true" outlineLevel="0" collapsed="false">
      <c r="A258" s="70" t="s">
        <v>891</v>
      </c>
      <c r="B258" s="71" t="n">
        <v>45588</v>
      </c>
      <c r="C258" s="72" t="s">
        <v>892</v>
      </c>
      <c r="D258" s="70" t="s">
        <v>893</v>
      </c>
      <c r="E258" s="70" t="s">
        <v>155</v>
      </c>
      <c r="F258" s="73" t="n">
        <v>7400000</v>
      </c>
      <c r="G258" s="72" t="s">
        <v>195</v>
      </c>
      <c r="H258" s="70" t="s">
        <v>91</v>
      </c>
      <c r="I258" s="70" t="s">
        <v>160</v>
      </c>
      <c r="J258" s="72" t="s">
        <v>103</v>
      </c>
      <c r="K258" s="70" t="s">
        <v>205</v>
      </c>
      <c r="L258" s="71" t="n">
        <v>45589</v>
      </c>
      <c r="M258" s="71" t="n">
        <v>45593</v>
      </c>
      <c r="N258" s="74" t="n">
        <v>602</v>
      </c>
      <c r="O258" s="70" t="s">
        <v>113</v>
      </c>
      <c r="P258" s="72"/>
    </row>
    <row r="259" customFormat="false" ht="15" hidden="false" customHeight="true" outlineLevel="0" collapsed="false">
      <c r="A259" s="75" t="s">
        <v>894</v>
      </c>
      <c r="B259" s="76" t="n">
        <v>45538</v>
      </c>
      <c r="C259" s="77" t="s">
        <v>895</v>
      </c>
      <c r="D259" s="75" t="s">
        <v>896</v>
      </c>
      <c r="E259" s="75" t="s">
        <v>141</v>
      </c>
      <c r="F259" s="78" t="n">
        <v>5300000</v>
      </c>
      <c r="G259" s="77" t="s">
        <v>166</v>
      </c>
      <c r="H259" s="75" t="s">
        <v>118</v>
      </c>
      <c r="I259" s="75" t="s">
        <v>92</v>
      </c>
      <c r="J259" s="77" t="s">
        <v>112</v>
      </c>
      <c r="K259" s="75" t="s">
        <v>161</v>
      </c>
      <c r="L259" s="76" t="n">
        <v>45543</v>
      </c>
      <c r="M259" s="76" t="n">
        <v>46194</v>
      </c>
      <c r="N259" s="79" t="n">
        <v>1</v>
      </c>
      <c r="O259" s="75" t="s">
        <v>113</v>
      </c>
      <c r="P259" s="77"/>
    </row>
    <row r="260" customFormat="false" ht="15" hidden="false" customHeight="true" outlineLevel="0" collapsed="false">
      <c r="A260" s="70" t="s">
        <v>897</v>
      </c>
      <c r="B260" s="71" t="n">
        <v>45560</v>
      </c>
      <c r="C260" s="72" t="s">
        <v>468</v>
      </c>
      <c r="D260" s="70" t="s">
        <v>898</v>
      </c>
      <c r="E260" s="70" t="s">
        <v>99</v>
      </c>
      <c r="F260" s="73" t="n">
        <v>6500000</v>
      </c>
      <c r="G260" s="72" t="s">
        <v>100</v>
      </c>
      <c r="H260" s="70" t="s">
        <v>91</v>
      </c>
      <c r="I260" s="70" t="s">
        <v>119</v>
      </c>
      <c r="J260" s="72" t="s">
        <v>178</v>
      </c>
      <c r="K260" s="70" t="s">
        <v>104</v>
      </c>
      <c r="L260" s="71" t="n">
        <v>45561</v>
      </c>
      <c r="M260" s="71" t="n">
        <v>46197</v>
      </c>
      <c r="N260" s="74" t="n">
        <v>-2</v>
      </c>
      <c r="O260" s="70" t="s">
        <v>95</v>
      </c>
      <c r="P260" s="72"/>
    </row>
    <row r="261" customFormat="false" ht="15" hidden="false" customHeight="true" outlineLevel="0" collapsed="false">
      <c r="A261" s="75" t="s">
        <v>899</v>
      </c>
      <c r="B261" s="76" t="n">
        <v>45455</v>
      </c>
      <c r="C261" s="77" t="s">
        <v>900</v>
      </c>
      <c r="D261" s="75" t="s">
        <v>901</v>
      </c>
      <c r="E261" s="75" t="s">
        <v>141</v>
      </c>
      <c r="F261" s="78" t="n">
        <v>18000000</v>
      </c>
      <c r="G261" s="77" t="s">
        <v>100</v>
      </c>
      <c r="H261" s="75" t="s">
        <v>101</v>
      </c>
      <c r="I261" s="75" t="s">
        <v>119</v>
      </c>
      <c r="J261" s="77" t="s">
        <v>142</v>
      </c>
      <c r="K261" s="75" t="s">
        <v>205</v>
      </c>
      <c r="L261" s="76" t="n">
        <v>45458</v>
      </c>
      <c r="M261" s="76" t="n">
        <v>45459</v>
      </c>
      <c r="N261" s="79" t="n">
        <v>736</v>
      </c>
      <c r="O261" s="75" t="s">
        <v>113</v>
      </c>
      <c r="P261" s="77"/>
    </row>
    <row r="262" customFormat="false" ht="15" hidden="false" customHeight="true" outlineLevel="0" collapsed="false">
      <c r="A262" s="70" t="s">
        <v>902</v>
      </c>
      <c r="B262" s="71" t="n">
        <v>45451</v>
      </c>
      <c r="C262" s="72" t="s">
        <v>903</v>
      </c>
      <c r="D262" s="70" t="s">
        <v>904</v>
      </c>
      <c r="E262" s="70" t="s">
        <v>89</v>
      </c>
      <c r="F262" s="73" t="n">
        <v>15100000</v>
      </c>
      <c r="G262" s="72" t="s">
        <v>130</v>
      </c>
      <c r="H262" s="70" t="s">
        <v>174</v>
      </c>
      <c r="I262" s="70" t="s">
        <v>102</v>
      </c>
      <c r="J262" s="72" t="s">
        <v>148</v>
      </c>
      <c r="K262" s="70" t="s">
        <v>120</v>
      </c>
      <c r="L262" s="71" t="n">
        <v>45455</v>
      </c>
      <c r="M262" s="71" t="n">
        <v>46187</v>
      </c>
      <c r="N262" s="74" t="n">
        <v>8</v>
      </c>
      <c r="O262" s="70" t="s">
        <v>113</v>
      </c>
      <c r="P262" s="72"/>
    </row>
    <row r="263" customFormat="false" ht="15" hidden="false" customHeight="true" outlineLevel="0" collapsed="false">
      <c r="A263" s="75" t="s">
        <v>905</v>
      </c>
      <c r="B263" s="76" t="n">
        <v>45584</v>
      </c>
      <c r="C263" s="77" t="s">
        <v>906</v>
      </c>
      <c r="D263" s="75" t="s">
        <v>907</v>
      </c>
      <c r="E263" s="75" t="s">
        <v>155</v>
      </c>
      <c r="F263" s="78" t="n">
        <v>7700000</v>
      </c>
      <c r="G263" s="77" t="s">
        <v>109</v>
      </c>
      <c r="H263" s="75" t="s">
        <v>91</v>
      </c>
      <c r="I263" s="75" t="s">
        <v>111</v>
      </c>
      <c r="J263" s="77" t="s">
        <v>209</v>
      </c>
      <c r="K263" s="75" t="s">
        <v>205</v>
      </c>
      <c r="L263" s="76" t="n">
        <v>45587</v>
      </c>
      <c r="M263" s="76" t="n">
        <v>45590</v>
      </c>
      <c r="N263" s="79" t="n">
        <v>605</v>
      </c>
      <c r="O263" s="75" t="s">
        <v>113</v>
      </c>
      <c r="P263" s="77"/>
    </row>
    <row r="264" customFormat="false" ht="15" hidden="false" customHeight="true" outlineLevel="0" collapsed="false">
      <c r="A264" s="70" t="s">
        <v>908</v>
      </c>
      <c r="B264" s="71" t="n">
        <v>45621</v>
      </c>
      <c r="C264" s="72" t="s">
        <v>752</v>
      </c>
      <c r="D264" s="70" t="s">
        <v>909</v>
      </c>
      <c r="E264" s="70" t="s">
        <v>99</v>
      </c>
      <c r="F264" s="73" t="n">
        <v>16900000</v>
      </c>
      <c r="G264" s="72" t="s">
        <v>109</v>
      </c>
      <c r="H264" s="70" t="s">
        <v>101</v>
      </c>
      <c r="I264" s="70" t="s">
        <v>92</v>
      </c>
      <c r="J264" s="72" t="s">
        <v>93</v>
      </c>
      <c r="K264" s="70" t="s">
        <v>104</v>
      </c>
      <c r="L264" s="71" t="n">
        <v>45624</v>
      </c>
      <c r="M264" s="71" t="n">
        <v>46200</v>
      </c>
      <c r="N264" s="74" t="n">
        <v>-5</v>
      </c>
      <c r="O264" s="70" t="s">
        <v>95</v>
      </c>
      <c r="P264" s="72"/>
    </row>
    <row r="265" customFormat="false" ht="15" hidden="false" customHeight="true" outlineLevel="0" collapsed="false">
      <c r="A265" s="75" t="s">
        <v>910</v>
      </c>
      <c r="B265" s="76" t="n">
        <v>45538</v>
      </c>
      <c r="C265" s="77" t="s">
        <v>911</v>
      </c>
      <c r="D265" s="75" t="s">
        <v>912</v>
      </c>
      <c r="E265" s="75" t="s">
        <v>214</v>
      </c>
      <c r="F265" s="78" t="n">
        <v>13100000</v>
      </c>
      <c r="G265" s="77" t="s">
        <v>90</v>
      </c>
      <c r="H265" s="75" t="s">
        <v>174</v>
      </c>
      <c r="I265" s="75" t="s">
        <v>160</v>
      </c>
      <c r="J265" s="77" t="s">
        <v>93</v>
      </c>
      <c r="K265" s="75" t="s">
        <v>120</v>
      </c>
      <c r="L265" s="76" t="n">
        <v>45543</v>
      </c>
      <c r="M265" s="76" t="n">
        <v>46185</v>
      </c>
      <c r="N265" s="79" t="n">
        <v>10</v>
      </c>
      <c r="O265" s="75" t="s">
        <v>113</v>
      </c>
      <c r="P265" s="77"/>
    </row>
    <row r="266" customFormat="false" ht="15" hidden="false" customHeight="true" outlineLevel="0" collapsed="false">
      <c r="A266" s="70" t="s">
        <v>913</v>
      </c>
      <c r="B266" s="71" t="n">
        <v>45516</v>
      </c>
      <c r="C266" s="72" t="s">
        <v>914</v>
      </c>
      <c r="D266" s="70" t="s">
        <v>915</v>
      </c>
      <c r="E266" s="70" t="s">
        <v>89</v>
      </c>
      <c r="F266" s="73" t="n">
        <v>12800000</v>
      </c>
      <c r="G266" s="72" t="s">
        <v>100</v>
      </c>
      <c r="H266" s="70" t="s">
        <v>131</v>
      </c>
      <c r="I266" s="70" t="s">
        <v>137</v>
      </c>
      <c r="J266" s="72" t="s">
        <v>178</v>
      </c>
      <c r="K266" s="70" t="s">
        <v>94</v>
      </c>
      <c r="L266" s="71" t="n">
        <v>45518</v>
      </c>
      <c r="M266" s="71" t="n">
        <v>46187</v>
      </c>
      <c r="N266" s="74" t="n">
        <v>8</v>
      </c>
      <c r="O266" s="70" t="s">
        <v>113</v>
      </c>
      <c r="P266" s="72"/>
    </row>
    <row r="267" customFormat="false" ht="15" hidden="false" customHeight="true" outlineLevel="0" collapsed="false">
      <c r="A267" s="75" t="s">
        <v>916</v>
      </c>
      <c r="B267" s="76" t="n">
        <v>45414</v>
      </c>
      <c r="C267" s="77" t="s">
        <v>917</v>
      </c>
      <c r="D267" s="75" t="s">
        <v>918</v>
      </c>
      <c r="E267" s="75" t="s">
        <v>99</v>
      </c>
      <c r="F267" s="78" t="n">
        <v>12400000</v>
      </c>
      <c r="G267" s="77" t="s">
        <v>159</v>
      </c>
      <c r="H267" s="75" t="s">
        <v>174</v>
      </c>
      <c r="I267" s="75" t="s">
        <v>160</v>
      </c>
      <c r="J267" s="77" t="s">
        <v>170</v>
      </c>
      <c r="K267" s="75" t="s">
        <v>120</v>
      </c>
      <c r="L267" s="76" t="n">
        <v>45416</v>
      </c>
      <c r="M267" s="76" t="n">
        <v>46191</v>
      </c>
      <c r="N267" s="79" t="n">
        <v>4</v>
      </c>
      <c r="O267" s="75" t="s">
        <v>113</v>
      </c>
      <c r="P267" s="77"/>
    </row>
    <row r="268" customFormat="false" ht="15" hidden="false" customHeight="true" outlineLevel="0" collapsed="false">
      <c r="A268" s="70" t="s">
        <v>919</v>
      </c>
      <c r="B268" s="71" t="n">
        <v>45610</v>
      </c>
      <c r="C268" s="72" t="s">
        <v>920</v>
      </c>
      <c r="D268" s="70" t="s">
        <v>921</v>
      </c>
      <c r="E268" s="70" t="s">
        <v>117</v>
      </c>
      <c r="F268" s="73" t="n">
        <v>4500000</v>
      </c>
      <c r="G268" s="72" t="s">
        <v>90</v>
      </c>
      <c r="H268" s="70" t="s">
        <v>118</v>
      </c>
      <c r="I268" s="70" t="s">
        <v>102</v>
      </c>
      <c r="J268" s="72" t="s">
        <v>124</v>
      </c>
      <c r="K268" s="70" t="s">
        <v>205</v>
      </c>
      <c r="L268" s="71" t="n">
        <v>45612</v>
      </c>
      <c r="M268" s="71" t="n">
        <v>45613</v>
      </c>
      <c r="N268" s="74" t="n">
        <v>582</v>
      </c>
      <c r="O268" s="70" t="s">
        <v>113</v>
      </c>
      <c r="P268" s="72"/>
    </row>
    <row r="269" customFormat="false" ht="15" hidden="false" customHeight="true" outlineLevel="0" collapsed="false">
      <c r="A269" s="75" t="s">
        <v>922</v>
      </c>
      <c r="B269" s="76" t="n">
        <v>45578</v>
      </c>
      <c r="C269" s="77" t="s">
        <v>148</v>
      </c>
      <c r="D269" s="75" t="s">
        <v>923</v>
      </c>
      <c r="E269" s="75" t="s">
        <v>214</v>
      </c>
      <c r="F269" s="78" t="n">
        <v>8900000</v>
      </c>
      <c r="G269" s="77" t="s">
        <v>195</v>
      </c>
      <c r="H269" s="75" t="s">
        <v>91</v>
      </c>
      <c r="I269" s="75" t="s">
        <v>119</v>
      </c>
      <c r="J269" s="77" t="s">
        <v>191</v>
      </c>
      <c r="K269" s="75" t="s">
        <v>161</v>
      </c>
      <c r="L269" s="76" t="n">
        <v>45582</v>
      </c>
      <c r="M269" s="76" t="n">
        <v>46192</v>
      </c>
      <c r="N269" s="79" t="n">
        <v>3</v>
      </c>
      <c r="O269" s="75" t="s">
        <v>113</v>
      </c>
      <c r="P269" s="77"/>
    </row>
    <row r="270" customFormat="false" ht="15" hidden="false" customHeight="true" outlineLevel="0" collapsed="false">
      <c r="A270" s="70" t="s">
        <v>924</v>
      </c>
      <c r="B270" s="71" t="n">
        <v>45714</v>
      </c>
      <c r="C270" s="72" t="s">
        <v>925</v>
      </c>
      <c r="D270" s="70" t="s">
        <v>926</v>
      </c>
      <c r="E270" s="70" t="s">
        <v>239</v>
      </c>
      <c r="F270" s="73" t="n">
        <v>6600000</v>
      </c>
      <c r="G270" s="72" t="s">
        <v>166</v>
      </c>
      <c r="H270" s="70" t="s">
        <v>91</v>
      </c>
      <c r="I270" s="70" t="s">
        <v>137</v>
      </c>
      <c r="J270" s="72" t="s">
        <v>148</v>
      </c>
      <c r="K270" s="70" t="s">
        <v>161</v>
      </c>
      <c r="L270" s="71" t="n">
        <v>45717</v>
      </c>
      <c r="M270" s="71" t="n">
        <v>46202</v>
      </c>
      <c r="N270" s="74" t="n">
        <v>-7</v>
      </c>
      <c r="O270" s="70" t="s">
        <v>95</v>
      </c>
      <c r="P270" s="72"/>
    </row>
    <row r="271" customFormat="false" ht="15" hidden="false" customHeight="true" outlineLevel="0" collapsed="false">
      <c r="A271" s="75" t="s">
        <v>927</v>
      </c>
      <c r="B271" s="76" t="n">
        <v>45652</v>
      </c>
      <c r="C271" s="77" t="s">
        <v>633</v>
      </c>
      <c r="D271" s="75" t="s">
        <v>928</v>
      </c>
      <c r="E271" s="75" t="s">
        <v>141</v>
      </c>
      <c r="F271" s="78" t="n">
        <v>12600000</v>
      </c>
      <c r="G271" s="77" t="s">
        <v>90</v>
      </c>
      <c r="H271" s="75" t="s">
        <v>174</v>
      </c>
      <c r="I271" s="75" t="s">
        <v>119</v>
      </c>
      <c r="J271" s="77" t="s">
        <v>124</v>
      </c>
      <c r="K271" s="75" t="s">
        <v>94</v>
      </c>
      <c r="L271" s="76" t="n">
        <v>45654</v>
      </c>
      <c r="M271" s="76" t="n">
        <v>46207</v>
      </c>
      <c r="N271" s="79" t="n">
        <v>-12</v>
      </c>
      <c r="O271" s="75" t="s">
        <v>95</v>
      </c>
      <c r="P271" s="77"/>
    </row>
    <row r="272" customFormat="false" ht="15" hidden="false" customHeight="true" outlineLevel="0" collapsed="false">
      <c r="A272" s="70" t="s">
        <v>929</v>
      </c>
      <c r="B272" s="71" t="n">
        <v>45672</v>
      </c>
      <c r="C272" s="72" t="s">
        <v>930</v>
      </c>
      <c r="D272" s="70" t="s">
        <v>931</v>
      </c>
      <c r="E272" s="70" t="s">
        <v>89</v>
      </c>
      <c r="F272" s="73" t="n">
        <v>14300000</v>
      </c>
      <c r="G272" s="72" t="s">
        <v>130</v>
      </c>
      <c r="H272" s="70" t="s">
        <v>174</v>
      </c>
      <c r="I272" s="70" t="s">
        <v>160</v>
      </c>
      <c r="J272" s="72" t="s">
        <v>142</v>
      </c>
      <c r="K272" s="70" t="s">
        <v>104</v>
      </c>
      <c r="L272" s="71" t="n">
        <v>45677</v>
      </c>
      <c r="M272" s="71" t="n">
        <v>46197</v>
      </c>
      <c r="N272" s="74" t="n">
        <v>-2</v>
      </c>
      <c r="O272" s="70" t="s">
        <v>95</v>
      </c>
      <c r="P272" s="72"/>
    </row>
    <row r="273" customFormat="false" ht="15" hidden="false" customHeight="true" outlineLevel="0" collapsed="false">
      <c r="A273" s="75" t="s">
        <v>932</v>
      </c>
      <c r="B273" s="76" t="n">
        <v>45624</v>
      </c>
      <c r="C273" s="77" t="s">
        <v>933</v>
      </c>
      <c r="D273" s="75" t="s">
        <v>934</v>
      </c>
      <c r="E273" s="75" t="s">
        <v>165</v>
      </c>
      <c r="F273" s="78" t="n">
        <v>6400000</v>
      </c>
      <c r="G273" s="77" t="s">
        <v>100</v>
      </c>
      <c r="H273" s="75" t="s">
        <v>118</v>
      </c>
      <c r="I273" s="75" t="s">
        <v>160</v>
      </c>
      <c r="J273" s="77" t="s">
        <v>112</v>
      </c>
      <c r="K273" s="75" t="s">
        <v>120</v>
      </c>
      <c r="L273" s="76" t="n">
        <v>45629</v>
      </c>
      <c r="M273" s="76" t="n">
        <v>46205</v>
      </c>
      <c r="N273" s="79" t="n">
        <v>-10</v>
      </c>
      <c r="O273" s="75" t="s">
        <v>95</v>
      </c>
      <c r="P273" s="77"/>
    </row>
    <row r="274" customFormat="false" ht="15" hidden="false" customHeight="true" outlineLevel="0" collapsed="false">
      <c r="A274" s="70" t="s">
        <v>935</v>
      </c>
      <c r="B274" s="71" t="n">
        <v>45411</v>
      </c>
      <c r="C274" s="72" t="s">
        <v>936</v>
      </c>
      <c r="D274" s="70" t="s">
        <v>937</v>
      </c>
      <c r="E274" s="70" t="s">
        <v>141</v>
      </c>
      <c r="F274" s="73" t="n">
        <v>26000000</v>
      </c>
      <c r="G274" s="72" t="s">
        <v>100</v>
      </c>
      <c r="H274" s="70" t="s">
        <v>110</v>
      </c>
      <c r="I274" s="70" t="s">
        <v>111</v>
      </c>
      <c r="J274" s="72" t="s">
        <v>103</v>
      </c>
      <c r="K274" s="70" t="s">
        <v>125</v>
      </c>
      <c r="L274" s="71" t="n">
        <v>45413</v>
      </c>
      <c r="M274" s="71" t="n">
        <v>45418</v>
      </c>
      <c r="N274" s="74" t="n">
        <v>777</v>
      </c>
      <c r="O274" s="70" t="s">
        <v>113</v>
      </c>
      <c r="P274" s="72"/>
    </row>
    <row r="275" customFormat="false" ht="15" hidden="false" customHeight="true" outlineLevel="0" collapsed="false">
      <c r="A275" s="75" t="s">
        <v>938</v>
      </c>
      <c r="B275" s="76" t="n">
        <v>45397</v>
      </c>
      <c r="C275" s="77" t="s">
        <v>939</v>
      </c>
      <c r="D275" s="75" t="s">
        <v>940</v>
      </c>
      <c r="E275" s="75" t="s">
        <v>129</v>
      </c>
      <c r="F275" s="78" t="n">
        <v>18700000</v>
      </c>
      <c r="G275" s="77" t="s">
        <v>100</v>
      </c>
      <c r="H275" s="75" t="s">
        <v>101</v>
      </c>
      <c r="I275" s="75" t="s">
        <v>160</v>
      </c>
      <c r="J275" s="77" t="s">
        <v>209</v>
      </c>
      <c r="K275" s="75" t="s">
        <v>205</v>
      </c>
      <c r="L275" s="76" t="n">
        <v>45400</v>
      </c>
      <c r="M275" s="76" t="n">
        <v>45405</v>
      </c>
      <c r="N275" s="79" t="n">
        <v>790</v>
      </c>
      <c r="O275" s="75" t="s">
        <v>113</v>
      </c>
      <c r="P275" s="77"/>
    </row>
    <row r="276" customFormat="false" ht="15" hidden="false" customHeight="true" outlineLevel="0" collapsed="false">
      <c r="A276" s="70" t="s">
        <v>941</v>
      </c>
      <c r="B276" s="71" t="n">
        <v>45691</v>
      </c>
      <c r="C276" s="72" t="s">
        <v>942</v>
      </c>
      <c r="D276" s="70" t="s">
        <v>943</v>
      </c>
      <c r="E276" s="70" t="s">
        <v>214</v>
      </c>
      <c r="F276" s="73" t="n">
        <v>8600000</v>
      </c>
      <c r="G276" s="72" t="s">
        <v>90</v>
      </c>
      <c r="H276" s="70" t="s">
        <v>91</v>
      </c>
      <c r="I276" s="70" t="s">
        <v>102</v>
      </c>
      <c r="J276" s="72" t="s">
        <v>93</v>
      </c>
      <c r="K276" s="70" t="s">
        <v>120</v>
      </c>
      <c r="L276" s="71" t="n">
        <v>45693</v>
      </c>
      <c r="M276" s="71" t="n">
        <v>46184</v>
      </c>
      <c r="N276" s="74" t="n">
        <v>11</v>
      </c>
      <c r="O276" s="70" t="s">
        <v>113</v>
      </c>
      <c r="P276" s="72"/>
    </row>
    <row r="277" customFormat="false" ht="15" hidden="false" customHeight="true" outlineLevel="0" collapsed="false">
      <c r="A277" s="75" t="s">
        <v>944</v>
      </c>
      <c r="B277" s="76" t="n">
        <v>45548</v>
      </c>
      <c r="C277" s="77" t="s">
        <v>945</v>
      </c>
      <c r="D277" s="75" t="s">
        <v>946</v>
      </c>
      <c r="E277" s="75" t="s">
        <v>117</v>
      </c>
      <c r="F277" s="78" t="n">
        <v>7900000</v>
      </c>
      <c r="G277" s="77" t="s">
        <v>100</v>
      </c>
      <c r="H277" s="75" t="s">
        <v>91</v>
      </c>
      <c r="I277" s="75" t="s">
        <v>85</v>
      </c>
      <c r="J277" s="77" t="s">
        <v>170</v>
      </c>
      <c r="K277" s="75" t="s">
        <v>205</v>
      </c>
      <c r="L277" s="76" t="n">
        <v>45549</v>
      </c>
      <c r="M277" s="76" t="n">
        <v>45550</v>
      </c>
      <c r="N277" s="79" t="n">
        <v>645</v>
      </c>
      <c r="O277" s="75" t="s">
        <v>113</v>
      </c>
      <c r="P277" s="77" t="s">
        <v>132</v>
      </c>
    </row>
    <row r="278" customFormat="false" ht="15" hidden="false" customHeight="true" outlineLevel="0" collapsed="false">
      <c r="A278" s="70" t="s">
        <v>947</v>
      </c>
      <c r="B278" s="71" t="n">
        <v>45548</v>
      </c>
      <c r="C278" s="72" t="s">
        <v>483</v>
      </c>
      <c r="D278" s="70" t="s">
        <v>948</v>
      </c>
      <c r="E278" s="70" t="s">
        <v>165</v>
      </c>
      <c r="F278" s="73" t="n">
        <v>12800000</v>
      </c>
      <c r="G278" s="72" t="s">
        <v>159</v>
      </c>
      <c r="H278" s="70" t="s">
        <v>131</v>
      </c>
      <c r="I278" s="70" t="s">
        <v>137</v>
      </c>
      <c r="J278" s="72" t="s">
        <v>93</v>
      </c>
      <c r="K278" s="70" t="s">
        <v>104</v>
      </c>
      <c r="L278" s="71" t="n">
        <v>45550</v>
      </c>
      <c r="M278" s="71" t="n">
        <v>46192</v>
      </c>
      <c r="N278" s="74" t="n">
        <v>3</v>
      </c>
      <c r="O278" s="70" t="s">
        <v>113</v>
      </c>
      <c r="P278" s="72"/>
    </row>
    <row r="279" customFormat="false" ht="15" hidden="false" customHeight="true" outlineLevel="0" collapsed="false">
      <c r="A279" s="75" t="s">
        <v>949</v>
      </c>
      <c r="B279" s="76" t="n">
        <v>45533</v>
      </c>
      <c r="C279" s="77" t="s">
        <v>305</v>
      </c>
      <c r="D279" s="75" t="s">
        <v>950</v>
      </c>
      <c r="E279" s="75" t="s">
        <v>129</v>
      </c>
      <c r="F279" s="78" t="n">
        <v>9300000</v>
      </c>
      <c r="G279" s="77" t="s">
        <v>130</v>
      </c>
      <c r="H279" s="75" t="s">
        <v>91</v>
      </c>
      <c r="I279" s="75" t="s">
        <v>137</v>
      </c>
      <c r="J279" s="77" t="s">
        <v>170</v>
      </c>
      <c r="K279" s="75" t="s">
        <v>143</v>
      </c>
      <c r="L279" s="76" t="n">
        <v>45535</v>
      </c>
      <c r="M279" s="76" t="n">
        <v>46192</v>
      </c>
      <c r="N279" s="79" t="n">
        <v>3</v>
      </c>
      <c r="O279" s="75" t="s">
        <v>113</v>
      </c>
      <c r="P279" s="77"/>
    </row>
    <row r="280" customFormat="false" ht="15" hidden="false" customHeight="true" outlineLevel="0" collapsed="false">
      <c r="A280" s="70" t="s">
        <v>951</v>
      </c>
      <c r="B280" s="71" t="n">
        <v>45672</v>
      </c>
      <c r="C280" s="72" t="s">
        <v>459</v>
      </c>
      <c r="D280" s="70" t="s">
        <v>952</v>
      </c>
      <c r="E280" s="70" t="s">
        <v>117</v>
      </c>
      <c r="F280" s="73" t="n">
        <v>9000000</v>
      </c>
      <c r="G280" s="72" t="s">
        <v>195</v>
      </c>
      <c r="H280" s="70" t="s">
        <v>91</v>
      </c>
      <c r="I280" s="70" t="s">
        <v>111</v>
      </c>
      <c r="J280" s="72" t="s">
        <v>148</v>
      </c>
      <c r="K280" s="70" t="s">
        <v>104</v>
      </c>
      <c r="L280" s="71" t="n">
        <v>45673</v>
      </c>
      <c r="M280" s="71" t="n">
        <v>46202</v>
      </c>
      <c r="N280" s="74" t="n">
        <v>-7</v>
      </c>
      <c r="O280" s="70" t="s">
        <v>95</v>
      </c>
      <c r="P280" s="72"/>
    </row>
    <row r="281" customFormat="false" ht="15" hidden="false" customHeight="true" outlineLevel="0" collapsed="false">
      <c r="A281" s="75" t="s">
        <v>953</v>
      </c>
      <c r="B281" s="76" t="n">
        <v>45518</v>
      </c>
      <c r="C281" s="77" t="s">
        <v>954</v>
      </c>
      <c r="D281" s="75" t="s">
        <v>955</v>
      </c>
      <c r="E281" s="75" t="s">
        <v>165</v>
      </c>
      <c r="F281" s="78" t="n">
        <v>9200000</v>
      </c>
      <c r="G281" s="77" t="s">
        <v>130</v>
      </c>
      <c r="H281" s="75" t="s">
        <v>91</v>
      </c>
      <c r="I281" s="75" t="s">
        <v>102</v>
      </c>
      <c r="J281" s="77" t="s">
        <v>209</v>
      </c>
      <c r="K281" s="75" t="s">
        <v>143</v>
      </c>
      <c r="L281" s="76" t="n">
        <v>45520</v>
      </c>
      <c r="M281" s="76" t="n">
        <v>46194</v>
      </c>
      <c r="N281" s="79" t="n">
        <v>1</v>
      </c>
      <c r="O281" s="75" t="s">
        <v>113</v>
      </c>
      <c r="P281" s="77"/>
    </row>
    <row r="282" customFormat="false" ht="15" hidden="false" customHeight="true" outlineLevel="0" collapsed="false">
      <c r="A282" s="70" t="s">
        <v>956</v>
      </c>
      <c r="B282" s="71" t="n">
        <v>45594</v>
      </c>
      <c r="C282" s="72" t="s">
        <v>957</v>
      </c>
      <c r="D282" s="70" t="s">
        <v>958</v>
      </c>
      <c r="E282" s="70" t="s">
        <v>141</v>
      </c>
      <c r="F282" s="73" t="n">
        <v>5300000</v>
      </c>
      <c r="G282" s="72" t="s">
        <v>195</v>
      </c>
      <c r="H282" s="70" t="s">
        <v>118</v>
      </c>
      <c r="I282" s="70" t="s">
        <v>119</v>
      </c>
      <c r="J282" s="72" t="s">
        <v>191</v>
      </c>
      <c r="K282" s="70" t="s">
        <v>205</v>
      </c>
      <c r="L282" s="71" t="n">
        <v>45598</v>
      </c>
      <c r="M282" s="71" t="n">
        <v>45602</v>
      </c>
      <c r="N282" s="74" t="n">
        <v>593</v>
      </c>
      <c r="O282" s="70" t="s">
        <v>113</v>
      </c>
      <c r="P282" s="72"/>
    </row>
    <row r="283" customFormat="false" ht="15" hidden="false" customHeight="true" outlineLevel="0" collapsed="false">
      <c r="A283" s="75" t="s">
        <v>959</v>
      </c>
      <c r="B283" s="76" t="n">
        <v>45546</v>
      </c>
      <c r="C283" s="77" t="s">
        <v>960</v>
      </c>
      <c r="D283" s="75" t="s">
        <v>961</v>
      </c>
      <c r="E283" s="75" t="s">
        <v>214</v>
      </c>
      <c r="F283" s="78" t="n">
        <v>8400000</v>
      </c>
      <c r="G283" s="77" t="s">
        <v>100</v>
      </c>
      <c r="H283" s="75" t="s">
        <v>91</v>
      </c>
      <c r="I283" s="75" t="s">
        <v>102</v>
      </c>
      <c r="J283" s="77" t="s">
        <v>178</v>
      </c>
      <c r="K283" s="75" t="s">
        <v>104</v>
      </c>
      <c r="L283" s="76" t="n">
        <v>45549</v>
      </c>
      <c r="M283" s="76" t="n">
        <v>46190</v>
      </c>
      <c r="N283" s="79" t="n">
        <v>5</v>
      </c>
      <c r="O283" s="75" t="s">
        <v>113</v>
      </c>
      <c r="P283" s="77"/>
    </row>
    <row r="284" customFormat="false" ht="15" hidden="false" customHeight="true" outlineLevel="0" collapsed="false">
      <c r="A284" s="70" t="s">
        <v>962</v>
      </c>
      <c r="B284" s="71" t="n">
        <v>45630</v>
      </c>
      <c r="C284" s="72" t="s">
        <v>963</v>
      </c>
      <c r="D284" s="70" t="s">
        <v>964</v>
      </c>
      <c r="E284" s="70" t="s">
        <v>129</v>
      </c>
      <c r="F284" s="73" t="n">
        <v>16800000</v>
      </c>
      <c r="G284" s="72" t="s">
        <v>159</v>
      </c>
      <c r="H284" s="70" t="s">
        <v>101</v>
      </c>
      <c r="I284" s="70" t="s">
        <v>111</v>
      </c>
      <c r="J284" s="72" t="s">
        <v>148</v>
      </c>
      <c r="K284" s="70" t="s">
        <v>205</v>
      </c>
      <c r="L284" s="71" t="n">
        <v>45631</v>
      </c>
      <c r="M284" s="71" t="n">
        <v>45635</v>
      </c>
      <c r="N284" s="74" t="n">
        <v>560</v>
      </c>
      <c r="O284" s="70" t="s">
        <v>113</v>
      </c>
      <c r="P284" s="72"/>
    </row>
    <row r="285" customFormat="false" ht="15" hidden="false" customHeight="true" outlineLevel="0" collapsed="false">
      <c r="A285" s="75" t="s">
        <v>965</v>
      </c>
      <c r="B285" s="76" t="n">
        <v>45666</v>
      </c>
      <c r="C285" s="77" t="s">
        <v>966</v>
      </c>
      <c r="D285" s="75" t="s">
        <v>967</v>
      </c>
      <c r="E285" s="75" t="s">
        <v>129</v>
      </c>
      <c r="F285" s="78" t="n">
        <v>5200000</v>
      </c>
      <c r="G285" s="77" t="s">
        <v>195</v>
      </c>
      <c r="H285" s="75" t="s">
        <v>118</v>
      </c>
      <c r="I285" s="75" t="s">
        <v>92</v>
      </c>
      <c r="J285" s="77" t="s">
        <v>124</v>
      </c>
      <c r="K285" s="75" t="s">
        <v>143</v>
      </c>
      <c r="L285" s="76" t="n">
        <v>45671</v>
      </c>
      <c r="M285" s="76" t="n">
        <v>46195</v>
      </c>
      <c r="N285" s="79" t="n">
        <v>0</v>
      </c>
      <c r="O285" s="75" t="s">
        <v>551</v>
      </c>
      <c r="P285" s="77"/>
    </row>
    <row r="286" customFormat="false" ht="15" hidden="false" customHeight="true" outlineLevel="0" collapsed="false">
      <c r="A286" s="70" t="s">
        <v>968</v>
      </c>
      <c r="B286" s="71" t="n">
        <v>45567</v>
      </c>
      <c r="C286" s="72" t="s">
        <v>781</v>
      </c>
      <c r="D286" s="70" t="s">
        <v>969</v>
      </c>
      <c r="E286" s="70" t="s">
        <v>141</v>
      </c>
      <c r="F286" s="73" t="n">
        <v>14400000</v>
      </c>
      <c r="G286" s="72" t="s">
        <v>195</v>
      </c>
      <c r="H286" s="70" t="s">
        <v>174</v>
      </c>
      <c r="I286" s="70" t="s">
        <v>137</v>
      </c>
      <c r="J286" s="72" t="s">
        <v>142</v>
      </c>
      <c r="K286" s="70" t="s">
        <v>104</v>
      </c>
      <c r="L286" s="71" t="n">
        <v>45568</v>
      </c>
      <c r="M286" s="71" t="n">
        <v>46200</v>
      </c>
      <c r="N286" s="74" t="n">
        <v>-5</v>
      </c>
      <c r="O286" s="70" t="s">
        <v>95</v>
      </c>
      <c r="P286" s="72"/>
    </row>
    <row r="287" customFormat="false" ht="15" hidden="false" customHeight="true" outlineLevel="0" collapsed="false">
      <c r="A287" s="75" t="s">
        <v>970</v>
      </c>
      <c r="B287" s="76" t="n">
        <v>45625</v>
      </c>
      <c r="C287" s="77" t="s">
        <v>609</v>
      </c>
      <c r="D287" s="75" t="s">
        <v>971</v>
      </c>
      <c r="E287" s="75" t="s">
        <v>99</v>
      </c>
      <c r="F287" s="78" t="n">
        <v>4900000</v>
      </c>
      <c r="G287" s="77" t="s">
        <v>159</v>
      </c>
      <c r="H287" s="75" t="s">
        <v>118</v>
      </c>
      <c r="I287" s="75" t="s">
        <v>92</v>
      </c>
      <c r="J287" s="77" t="s">
        <v>112</v>
      </c>
      <c r="K287" s="75" t="s">
        <v>205</v>
      </c>
      <c r="L287" s="76" t="n">
        <v>45626</v>
      </c>
      <c r="M287" s="76" t="n">
        <v>45629</v>
      </c>
      <c r="N287" s="79" t="n">
        <v>566</v>
      </c>
      <c r="O287" s="75" t="s">
        <v>113</v>
      </c>
      <c r="P287" s="77"/>
    </row>
    <row r="288" customFormat="false" ht="15" hidden="false" customHeight="true" outlineLevel="0" collapsed="false">
      <c r="A288" s="70" t="s">
        <v>972</v>
      </c>
      <c r="B288" s="71" t="n">
        <v>45578</v>
      </c>
      <c r="C288" s="72" t="s">
        <v>973</v>
      </c>
      <c r="D288" s="70" t="s">
        <v>974</v>
      </c>
      <c r="E288" s="70" t="s">
        <v>155</v>
      </c>
      <c r="F288" s="73" t="n">
        <v>5800000</v>
      </c>
      <c r="G288" s="72" t="s">
        <v>90</v>
      </c>
      <c r="H288" s="70" t="s">
        <v>118</v>
      </c>
      <c r="I288" s="70" t="s">
        <v>137</v>
      </c>
      <c r="J288" s="72" t="s">
        <v>191</v>
      </c>
      <c r="K288" s="70" t="s">
        <v>104</v>
      </c>
      <c r="L288" s="71" t="n">
        <v>45581</v>
      </c>
      <c r="M288" s="71" t="n">
        <v>46192</v>
      </c>
      <c r="N288" s="74" t="n">
        <v>3</v>
      </c>
      <c r="O288" s="70" t="s">
        <v>113</v>
      </c>
      <c r="P288" s="72"/>
    </row>
    <row r="289" customFormat="false" ht="15" hidden="false" customHeight="true" outlineLevel="0" collapsed="false">
      <c r="A289" s="75" t="s">
        <v>975</v>
      </c>
      <c r="B289" s="76" t="n">
        <v>45432</v>
      </c>
      <c r="C289" s="77" t="s">
        <v>976</v>
      </c>
      <c r="D289" s="75" t="s">
        <v>977</v>
      </c>
      <c r="E289" s="75" t="s">
        <v>214</v>
      </c>
      <c r="F289" s="78" t="n">
        <v>7600000</v>
      </c>
      <c r="G289" s="77" t="s">
        <v>90</v>
      </c>
      <c r="H289" s="75" t="s">
        <v>91</v>
      </c>
      <c r="I289" s="75" t="s">
        <v>137</v>
      </c>
      <c r="J289" s="77" t="s">
        <v>178</v>
      </c>
      <c r="K289" s="75" t="s">
        <v>104</v>
      </c>
      <c r="L289" s="76" t="n">
        <v>45433</v>
      </c>
      <c r="M289" s="76" t="n">
        <v>46208</v>
      </c>
      <c r="N289" s="79" t="n">
        <v>-13</v>
      </c>
      <c r="O289" s="75" t="s">
        <v>95</v>
      </c>
      <c r="P289" s="77"/>
    </row>
    <row r="290" customFormat="false" ht="15" hidden="false" customHeight="true" outlineLevel="0" collapsed="false">
      <c r="A290" s="70" t="s">
        <v>978</v>
      </c>
      <c r="B290" s="71" t="n">
        <v>45626</v>
      </c>
      <c r="C290" s="72" t="s">
        <v>979</v>
      </c>
      <c r="D290" s="70" t="s">
        <v>980</v>
      </c>
      <c r="E290" s="70" t="s">
        <v>99</v>
      </c>
      <c r="F290" s="73" t="n">
        <v>15400000</v>
      </c>
      <c r="G290" s="72" t="s">
        <v>195</v>
      </c>
      <c r="H290" s="70" t="s">
        <v>174</v>
      </c>
      <c r="I290" s="70" t="s">
        <v>137</v>
      </c>
      <c r="J290" s="72" t="s">
        <v>191</v>
      </c>
      <c r="K290" s="70" t="s">
        <v>205</v>
      </c>
      <c r="L290" s="71" t="n">
        <v>45631</v>
      </c>
      <c r="M290" s="71" t="n">
        <v>45633</v>
      </c>
      <c r="N290" s="74" t="n">
        <v>562</v>
      </c>
      <c r="O290" s="70" t="s">
        <v>113</v>
      </c>
      <c r="P290" s="72"/>
    </row>
    <row r="291" customFormat="false" ht="15" hidden="false" customHeight="true" outlineLevel="0" collapsed="false">
      <c r="A291" s="75" t="s">
        <v>981</v>
      </c>
      <c r="B291" s="76" t="n">
        <v>45700</v>
      </c>
      <c r="C291" s="77" t="s">
        <v>982</v>
      </c>
      <c r="D291" s="75" t="s">
        <v>983</v>
      </c>
      <c r="E291" s="75" t="s">
        <v>89</v>
      </c>
      <c r="F291" s="78" t="n">
        <v>20800000</v>
      </c>
      <c r="G291" s="77" t="s">
        <v>195</v>
      </c>
      <c r="H291" s="75" t="s">
        <v>101</v>
      </c>
      <c r="I291" s="75" t="s">
        <v>137</v>
      </c>
      <c r="J291" s="77" t="s">
        <v>148</v>
      </c>
      <c r="K291" s="75" t="s">
        <v>94</v>
      </c>
      <c r="L291" s="76" t="n">
        <v>45702</v>
      </c>
      <c r="M291" s="76" t="n">
        <v>46190</v>
      </c>
      <c r="N291" s="79" t="n">
        <v>5</v>
      </c>
      <c r="O291" s="75" t="s">
        <v>113</v>
      </c>
      <c r="P291" s="77"/>
    </row>
    <row r="292" customFormat="false" ht="15" hidden="false" customHeight="true" outlineLevel="0" collapsed="false">
      <c r="A292" s="70" t="s">
        <v>984</v>
      </c>
      <c r="B292" s="71" t="n">
        <v>45605</v>
      </c>
      <c r="C292" s="72" t="s">
        <v>385</v>
      </c>
      <c r="D292" s="70" t="s">
        <v>985</v>
      </c>
      <c r="E292" s="70" t="s">
        <v>99</v>
      </c>
      <c r="F292" s="73" t="n">
        <v>6700000</v>
      </c>
      <c r="G292" s="72" t="s">
        <v>100</v>
      </c>
      <c r="H292" s="70" t="s">
        <v>91</v>
      </c>
      <c r="I292" s="70" t="s">
        <v>119</v>
      </c>
      <c r="J292" s="72" t="s">
        <v>93</v>
      </c>
      <c r="K292" s="70" t="s">
        <v>205</v>
      </c>
      <c r="L292" s="71" t="n">
        <v>45607</v>
      </c>
      <c r="M292" s="71" t="n">
        <v>45609</v>
      </c>
      <c r="N292" s="74" t="n">
        <v>586</v>
      </c>
      <c r="O292" s="70" t="s">
        <v>113</v>
      </c>
      <c r="P292" s="72"/>
    </row>
    <row r="293" customFormat="false" ht="15" hidden="false" customHeight="true" outlineLevel="0" collapsed="false">
      <c r="A293" s="75" t="s">
        <v>986</v>
      </c>
      <c r="B293" s="76" t="n">
        <v>45524</v>
      </c>
      <c r="C293" s="77" t="s">
        <v>987</v>
      </c>
      <c r="D293" s="75" t="s">
        <v>988</v>
      </c>
      <c r="E293" s="75" t="s">
        <v>89</v>
      </c>
      <c r="F293" s="78" t="n">
        <v>5300000</v>
      </c>
      <c r="G293" s="77" t="s">
        <v>159</v>
      </c>
      <c r="H293" s="75" t="s">
        <v>118</v>
      </c>
      <c r="I293" s="75" t="s">
        <v>137</v>
      </c>
      <c r="J293" s="77" t="s">
        <v>191</v>
      </c>
      <c r="K293" s="75" t="s">
        <v>161</v>
      </c>
      <c r="L293" s="76" t="n">
        <v>45529</v>
      </c>
      <c r="M293" s="76" t="n">
        <v>46201</v>
      </c>
      <c r="N293" s="79" t="n">
        <v>-6</v>
      </c>
      <c r="O293" s="75" t="s">
        <v>95</v>
      </c>
      <c r="P293" s="77"/>
    </row>
    <row r="294" customFormat="false" ht="15" hidden="false" customHeight="true" outlineLevel="0" collapsed="false">
      <c r="A294" s="70" t="s">
        <v>989</v>
      </c>
      <c r="B294" s="71" t="n">
        <v>45681</v>
      </c>
      <c r="C294" s="72" t="s">
        <v>990</v>
      </c>
      <c r="D294" s="70" t="s">
        <v>991</v>
      </c>
      <c r="E294" s="70" t="s">
        <v>147</v>
      </c>
      <c r="F294" s="73" t="n">
        <v>5400000</v>
      </c>
      <c r="G294" s="72" t="s">
        <v>186</v>
      </c>
      <c r="H294" s="70" t="s">
        <v>118</v>
      </c>
      <c r="I294" s="70" t="s">
        <v>92</v>
      </c>
      <c r="J294" s="72" t="s">
        <v>170</v>
      </c>
      <c r="K294" s="70" t="s">
        <v>161</v>
      </c>
      <c r="L294" s="71" t="n">
        <v>45682</v>
      </c>
      <c r="M294" s="71" t="n">
        <v>46190</v>
      </c>
      <c r="N294" s="74" t="n">
        <v>5</v>
      </c>
      <c r="O294" s="70" t="s">
        <v>113</v>
      </c>
      <c r="P294" s="72"/>
    </row>
    <row r="295" customFormat="false" ht="15" hidden="false" customHeight="true" outlineLevel="0" collapsed="false">
      <c r="A295" s="75" t="s">
        <v>992</v>
      </c>
      <c r="B295" s="76" t="n">
        <v>45625</v>
      </c>
      <c r="C295" s="77" t="s">
        <v>993</v>
      </c>
      <c r="D295" s="75" t="s">
        <v>994</v>
      </c>
      <c r="E295" s="75" t="s">
        <v>165</v>
      </c>
      <c r="F295" s="78" t="n">
        <v>12700000</v>
      </c>
      <c r="G295" s="77" t="s">
        <v>186</v>
      </c>
      <c r="H295" s="75" t="s">
        <v>131</v>
      </c>
      <c r="I295" s="75" t="s">
        <v>85</v>
      </c>
      <c r="J295" s="77" t="s">
        <v>142</v>
      </c>
      <c r="K295" s="75" t="s">
        <v>161</v>
      </c>
      <c r="L295" s="76" t="n">
        <v>45626</v>
      </c>
      <c r="M295" s="76" t="n">
        <v>46192</v>
      </c>
      <c r="N295" s="79" t="n">
        <v>3</v>
      </c>
      <c r="O295" s="75" t="s">
        <v>113</v>
      </c>
      <c r="P295" s="77" t="s">
        <v>210</v>
      </c>
    </row>
    <row r="296" customFormat="false" ht="15" hidden="false" customHeight="true" outlineLevel="0" collapsed="false">
      <c r="A296" s="70" t="s">
        <v>995</v>
      </c>
      <c r="B296" s="71" t="n">
        <v>45626</v>
      </c>
      <c r="C296" s="72" t="s">
        <v>996</v>
      </c>
      <c r="D296" s="70" t="s">
        <v>997</v>
      </c>
      <c r="E296" s="70" t="s">
        <v>155</v>
      </c>
      <c r="F296" s="73" t="n">
        <v>5300000</v>
      </c>
      <c r="G296" s="72" t="s">
        <v>186</v>
      </c>
      <c r="H296" s="70" t="s">
        <v>118</v>
      </c>
      <c r="I296" s="70" t="s">
        <v>111</v>
      </c>
      <c r="J296" s="72" t="s">
        <v>124</v>
      </c>
      <c r="K296" s="70" t="s">
        <v>120</v>
      </c>
      <c r="L296" s="71" t="n">
        <v>45629</v>
      </c>
      <c r="M296" s="71" t="n">
        <v>46206</v>
      </c>
      <c r="N296" s="74" t="n">
        <v>-11</v>
      </c>
      <c r="O296" s="70" t="s">
        <v>95</v>
      </c>
      <c r="P296" s="72"/>
    </row>
    <row r="297" customFormat="false" ht="15" hidden="false" customHeight="true" outlineLevel="0" collapsed="false">
      <c r="A297" s="75" t="s">
        <v>998</v>
      </c>
      <c r="B297" s="76" t="n">
        <v>45609</v>
      </c>
      <c r="C297" s="77" t="s">
        <v>999</v>
      </c>
      <c r="D297" s="75" t="s">
        <v>1000</v>
      </c>
      <c r="E297" s="75" t="s">
        <v>239</v>
      </c>
      <c r="F297" s="78" t="n">
        <v>33500000</v>
      </c>
      <c r="G297" s="77" t="s">
        <v>166</v>
      </c>
      <c r="H297" s="75" t="s">
        <v>110</v>
      </c>
      <c r="I297" s="75" t="s">
        <v>102</v>
      </c>
      <c r="J297" s="77" t="s">
        <v>124</v>
      </c>
      <c r="K297" s="75" t="s">
        <v>120</v>
      </c>
      <c r="L297" s="76" t="n">
        <v>45612</v>
      </c>
      <c r="M297" s="76" t="n">
        <v>46200</v>
      </c>
      <c r="N297" s="79" t="n">
        <v>-5</v>
      </c>
      <c r="O297" s="75" t="s">
        <v>95</v>
      </c>
      <c r="P297" s="77"/>
    </row>
    <row r="298" customFormat="false" ht="15" hidden="false" customHeight="true" outlineLevel="0" collapsed="false">
      <c r="A298" s="70" t="s">
        <v>1001</v>
      </c>
      <c r="B298" s="71" t="n">
        <v>45574</v>
      </c>
      <c r="C298" s="72" t="s">
        <v>1002</v>
      </c>
      <c r="D298" s="70" t="s">
        <v>1003</v>
      </c>
      <c r="E298" s="70" t="s">
        <v>99</v>
      </c>
      <c r="F298" s="73" t="n">
        <v>8200000</v>
      </c>
      <c r="G298" s="72" t="s">
        <v>166</v>
      </c>
      <c r="H298" s="70" t="s">
        <v>91</v>
      </c>
      <c r="I298" s="70" t="s">
        <v>85</v>
      </c>
      <c r="J298" s="72" t="s">
        <v>142</v>
      </c>
      <c r="K298" s="70" t="s">
        <v>125</v>
      </c>
      <c r="L298" s="71" t="n">
        <v>45575</v>
      </c>
      <c r="M298" s="71" t="n">
        <v>45580</v>
      </c>
      <c r="N298" s="74" t="n">
        <v>615</v>
      </c>
      <c r="O298" s="70" t="s">
        <v>113</v>
      </c>
      <c r="P298" s="72" t="s">
        <v>132</v>
      </c>
    </row>
    <row r="299" customFormat="false" ht="15" hidden="false" customHeight="true" outlineLevel="0" collapsed="false">
      <c r="A299" s="75" t="s">
        <v>1004</v>
      </c>
      <c r="B299" s="76" t="n">
        <v>45510</v>
      </c>
      <c r="C299" s="77" t="s">
        <v>1005</v>
      </c>
      <c r="D299" s="75" t="s">
        <v>1006</v>
      </c>
      <c r="E299" s="75" t="s">
        <v>129</v>
      </c>
      <c r="F299" s="78" t="n">
        <v>7300000</v>
      </c>
      <c r="G299" s="77" t="s">
        <v>195</v>
      </c>
      <c r="H299" s="75" t="s">
        <v>91</v>
      </c>
      <c r="I299" s="75" t="s">
        <v>160</v>
      </c>
      <c r="J299" s="77" t="s">
        <v>124</v>
      </c>
      <c r="K299" s="75" t="s">
        <v>125</v>
      </c>
      <c r="L299" s="76" t="n">
        <v>45511</v>
      </c>
      <c r="M299" s="76" t="n">
        <v>45515</v>
      </c>
      <c r="N299" s="79" t="n">
        <v>680</v>
      </c>
      <c r="O299" s="75" t="s">
        <v>113</v>
      </c>
      <c r="P299" s="77"/>
    </row>
    <row r="300" customFormat="false" ht="15" hidden="false" customHeight="true" outlineLevel="0" collapsed="false">
      <c r="A300" s="70" t="s">
        <v>1007</v>
      </c>
      <c r="B300" s="71" t="n">
        <v>45506</v>
      </c>
      <c r="C300" s="72" t="s">
        <v>1008</v>
      </c>
      <c r="D300" s="70" t="s">
        <v>1009</v>
      </c>
      <c r="E300" s="70" t="s">
        <v>165</v>
      </c>
      <c r="F300" s="73" t="n">
        <v>19300000</v>
      </c>
      <c r="G300" s="72" t="s">
        <v>166</v>
      </c>
      <c r="H300" s="70" t="s">
        <v>101</v>
      </c>
      <c r="I300" s="70" t="s">
        <v>85</v>
      </c>
      <c r="J300" s="72" t="s">
        <v>93</v>
      </c>
      <c r="K300" s="70" t="s">
        <v>94</v>
      </c>
      <c r="L300" s="71" t="n">
        <v>45509</v>
      </c>
      <c r="M300" s="71" t="n">
        <v>46202</v>
      </c>
      <c r="N300" s="74" t="n">
        <v>-7</v>
      </c>
      <c r="O300" s="70" t="s">
        <v>95</v>
      </c>
      <c r="P300" s="72" t="s">
        <v>301</v>
      </c>
    </row>
    <row r="301" customFormat="false" ht="15" hidden="false" customHeight="true" outlineLevel="0" collapsed="false">
      <c r="A301" s="75" t="s">
        <v>1010</v>
      </c>
      <c r="B301" s="76" t="n">
        <v>45580</v>
      </c>
      <c r="C301" s="77" t="s">
        <v>1011</v>
      </c>
      <c r="D301" s="75" t="s">
        <v>1012</v>
      </c>
      <c r="E301" s="75" t="s">
        <v>165</v>
      </c>
      <c r="F301" s="78" t="n">
        <v>7600000</v>
      </c>
      <c r="G301" s="77" t="s">
        <v>130</v>
      </c>
      <c r="H301" s="75" t="s">
        <v>91</v>
      </c>
      <c r="I301" s="75" t="s">
        <v>85</v>
      </c>
      <c r="J301" s="77" t="s">
        <v>93</v>
      </c>
      <c r="K301" s="75" t="s">
        <v>104</v>
      </c>
      <c r="L301" s="76" t="n">
        <v>45581</v>
      </c>
      <c r="M301" s="76" t="n">
        <v>46192</v>
      </c>
      <c r="N301" s="79" t="n">
        <v>3</v>
      </c>
      <c r="O301" s="75" t="s">
        <v>113</v>
      </c>
      <c r="P301" s="77" t="s">
        <v>179</v>
      </c>
    </row>
    <row r="302" customFormat="false" ht="15" hidden="false" customHeight="true" outlineLevel="0" collapsed="false">
      <c r="A302" s="70" t="s">
        <v>1013</v>
      </c>
      <c r="B302" s="71" t="n">
        <v>45450</v>
      </c>
      <c r="C302" s="72" t="s">
        <v>1014</v>
      </c>
      <c r="D302" s="70" t="s">
        <v>1015</v>
      </c>
      <c r="E302" s="70" t="s">
        <v>239</v>
      </c>
      <c r="F302" s="73" t="n">
        <v>16200000</v>
      </c>
      <c r="G302" s="72" t="s">
        <v>186</v>
      </c>
      <c r="H302" s="70" t="s">
        <v>101</v>
      </c>
      <c r="I302" s="70" t="s">
        <v>160</v>
      </c>
      <c r="J302" s="72" t="s">
        <v>178</v>
      </c>
      <c r="K302" s="70" t="s">
        <v>161</v>
      </c>
      <c r="L302" s="71" t="n">
        <v>45452</v>
      </c>
      <c r="M302" s="71" t="n">
        <v>46206</v>
      </c>
      <c r="N302" s="74" t="n">
        <v>-11</v>
      </c>
      <c r="O302" s="70" t="s">
        <v>95</v>
      </c>
      <c r="P302" s="72"/>
    </row>
    <row r="303" customFormat="false" ht="15" hidden="false" customHeight="true" outlineLevel="0" collapsed="false">
      <c r="A303" s="75" t="s">
        <v>1016</v>
      </c>
      <c r="B303" s="76" t="n">
        <v>45575</v>
      </c>
      <c r="C303" s="77" t="s">
        <v>1017</v>
      </c>
      <c r="D303" s="75" t="s">
        <v>1018</v>
      </c>
      <c r="E303" s="75" t="s">
        <v>117</v>
      </c>
      <c r="F303" s="78" t="n">
        <v>33900000</v>
      </c>
      <c r="G303" s="77" t="s">
        <v>90</v>
      </c>
      <c r="H303" s="75" t="s">
        <v>110</v>
      </c>
      <c r="I303" s="75" t="s">
        <v>85</v>
      </c>
      <c r="J303" s="77" t="s">
        <v>112</v>
      </c>
      <c r="K303" s="75" t="s">
        <v>143</v>
      </c>
      <c r="L303" s="76" t="n">
        <v>45578</v>
      </c>
      <c r="M303" s="76" t="n">
        <v>46201</v>
      </c>
      <c r="N303" s="79" t="n">
        <v>-6</v>
      </c>
      <c r="O303" s="75" t="s">
        <v>95</v>
      </c>
      <c r="P303" s="77" t="s">
        <v>210</v>
      </c>
    </row>
    <row r="304" customFormat="false" ht="15" hidden="false" customHeight="true" outlineLevel="0" collapsed="false">
      <c r="A304" s="70" t="s">
        <v>1019</v>
      </c>
      <c r="B304" s="71" t="n">
        <v>45574</v>
      </c>
      <c r="C304" s="72" t="s">
        <v>1020</v>
      </c>
      <c r="D304" s="70" t="s">
        <v>1021</v>
      </c>
      <c r="E304" s="70" t="s">
        <v>117</v>
      </c>
      <c r="F304" s="73" t="n">
        <v>16900000</v>
      </c>
      <c r="G304" s="72" t="s">
        <v>186</v>
      </c>
      <c r="H304" s="70" t="s">
        <v>101</v>
      </c>
      <c r="I304" s="70" t="s">
        <v>102</v>
      </c>
      <c r="J304" s="72" t="s">
        <v>103</v>
      </c>
      <c r="K304" s="70" t="s">
        <v>205</v>
      </c>
      <c r="L304" s="71" t="n">
        <v>45579</v>
      </c>
      <c r="M304" s="71" t="n">
        <v>45584</v>
      </c>
      <c r="N304" s="74" t="n">
        <v>611</v>
      </c>
      <c r="O304" s="70" t="s">
        <v>113</v>
      </c>
      <c r="P304" s="72"/>
    </row>
    <row r="305" customFormat="false" ht="15" hidden="false" customHeight="true" outlineLevel="0" collapsed="false">
      <c r="A305" s="75" t="s">
        <v>1022</v>
      </c>
      <c r="B305" s="76" t="n">
        <v>45516</v>
      </c>
      <c r="C305" s="77" t="s">
        <v>1023</v>
      </c>
      <c r="D305" s="75" t="s">
        <v>1024</v>
      </c>
      <c r="E305" s="75" t="s">
        <v>214</v>
      </c>
      <c r="F305" s="78" t="n">
        <v>11800000</v>
      </c>
      <c r="G305" s="77" t="s">
        <v>159</v>
      </c>
      <c r="H305" s="75" t="s">
        <v>131</v>
      </c>
      <c r="I305" s="75" t="s">
        <v>85</v>
      </c>
      <c r="J305" s="77" t="s">
        <v>209</v>
      </c>
      <c r="K305" s="75" t="s">
        <v>125</v>
      </c>
      <c r="L305" s="76" t="n">
        <v>45519</v>
      </c>
      <c r="M305" s="76" t="n">
        <v>45521</v>
      </c>
      <c r="N305" s="79" t="n">
        <v>674</v>
      </c>
      <c r="O305" s="75" t="s">
        <v>113</v>
      </c>
      <c r="P305" s="77" t="s">
        <v>132</v>
      </c>
    </row>
    <row r="306" customFormat="false" ht="15" hidden="false" customHeight="true" outlineLevel="0" collapsed="false">
      <c r="A306" s="70" t="s">
        <v>1025</v>
      </c>
      <c r="B306" s="71" t="n">
        <v>45534</v>
      </c>
      <c r="C306" s="72" t="s">
        <v>1026</v>
      </c>
      <c r="D306" s="70" t="s">
        <v>1027</v>
      </c>
      <c r="E306" s="70" t="s">
        <v>136</v>
      </c>
      <c r="F306" s="73" t="n">
        <v>24300000</v>
      </c>
      <c r="G306" s="72" t="s">
        <v>130</v>
      </c>
      <c r="H306" s="70" t="s">
        <v>110</v>
      </c>
      <c r="I306" s="70" t="s">
        <v>85</v>
      </c>
      <c r="J306" s="72" t="s">
        <v>178</v>
      </c>
      <c r="K306" s="70" t="s">
        <v>94</v>
      </c>
      <c r="L306" s="71" t="n">
        <v>45537</v>
      </c>
      <c r="M306" s="71" t="n">
        <v>46200</v>
      </c>
      <c r="N306" s="74" t="n">
        <v>-5</v>
      </c>
      <c r="O306" s="70" t="s">
        <v>95</v>
      </c>
      <c r="P306" s="72" t="s">
        <v>187</v>
      </c>
    </row>
    <row r="307" customFormat="false" ht="15" hidden="false" customHeight="true" outlineLevel="0" collapsed="false">
      <c r="A307" s="75" t="s">
        <v>1028</v>
      </c>
      <c r="B307" s="76" t="n">
        <v>45626</v>
      </c>
      <c r="C307" s="77" t="s">
        <v>627</v>
      </c>
      <c r="D307" s="75" t="s">
        <v>1029</v>
      </c>
      <c r="E307" s="75" t="s">
        <v>99</v>
      </c>
      <c r="F307" s="78" t="n">
        <v>34000000</v>
      </c>
      <c r="G307" s="77" t="s">
        <v>130</v>
      </c>
      <c r="H307" s="75" t="s">
        <v>110</v>
      </c>
      <c r="I307" s="75" t="s">
        <v>92</v>
      </c>
      <c r="J307" s="77" t="s">
        <v>103</v>
      </c>
      <c r="K307" s="75" t="s">
        <v>94</v>
      </c>
      <c r="L307" s="76" t="n">
        <v>45629</v>
      </c>
      <c r="M307" s="76" t="n">
        <v>46203</v>
      </c>
      <c r="N307" s="79" t="n">
        <v>-8</v>
      </c>
      <c r="O307" s="75" t="s">
        <v>95</v>
      </c>
      <c r="P307" s="77"/>
    </row>
    <row r="308" customFormat="false" ht="15" hidden="false" customHeight="true" outlineLevel="0" collapsed="false">
      <c r="A308" s="70" t="s">
        <v>1030</v>
      </c>
      <c r="B308" s="71" t="n">
        <v>45669</v>
      </c>
      <c r="C308" s="72" t="s">
        <v>1031</v>
      </c>
      <c r="D308" s="70" t="s">
        <v>1032</v>
      </c>
      <c r="E308" s="70" t="s">
        <v>239</v>
      </c>
      <c r="F308" s="73" t="n">
        <v>12500000</v>
      </c>
      <c r="G308" s="72" t="s">
        <v>159</v>
      </c>
      <c r="H308" s="70" t="s">
        <v>174</v>
      </c>
      <c r="I308" s="70" t="s">
        <v>85</v>
      </c>
      <c r="J308" s="72" t="s">
        <v>112</v>
      </c>
      <c r="K308" s="70" t="s">
        <v>125</v>
      </c>
      <c r="L308" s="71" t="n">
        <v>45671</v>
      </c>
      <c r="M308" s="71" t="n">
        <v>45674</v>
      </c>
      <c r="N308" s="74" t="n">
        <v>521</v>
      </c>
      <c r="O308" s="70" t="s">
        <v>113</v>
      </c>
      <c r="P308" s="72" t="s">
        <v>240</v>
      </c>
    </row>
    <row r="309" customFormat="false" ht="15" hidden="false" customHeight="true" outlineLevel="0" collapsed="false">
      <c r="A309" s="75" t="s">
        <v>1033</v>
      </c>
      <c r="B309" s="76" t="n">
        <v>45443</v>
      </c>
      <c r="C309" s="77" t="s">
        <v>639</v>
      </c>
      <c r="D309" s="75" t="s">
        <v>1034</v>
      </c>
      <c r="E309" s="75" t="s">
        <v>136</v>
      </c>
      <c r="F309" s="78" t="n">
        <v>11700000</v>
      </c>
      <c r="G309" s="77" t="s">
        <v>130</v>
      </c>
      <c r="H309" s="75" t="s">
        <v>131</v>
      </c>
      <c r="I309" s="75" t="s">
        <v>137</v>
      </c>
      <c r="J309" s="77" t="s">
        <v>112</v>
      </c>
      <c r="K309" s="75" t="s">
        <v>143</v>
      </c>
      <c r="L309" s="76" t="n">
        <v>45447</v>
      </c>
      <c r="M309" s="76" t="n">
        <v>46188</v>
      </c>
      <c r="N309" s="79" t="n">
        <v>7</v>
      </c>
      <c r="O309" s="75" t="s">
        <v>113</v>
      </c>
      <c r="P309" s="77"/>
    </row>
    <row r="310" customFormat="false" ht="15" hidden="false" customHeight="true" outlineLevel="0" collapsed="false">
      <c r="A310" s="70" t="s">
        <v>1035</v>
      </c>
      <c r="B310" s="71" t="n">
        <v>45578</v>
      </c>
      <c r="C310" s="72" t="s">
        <v>1036</v>
      </c>
      <c r="D310" s="70" t="s">
        <v>1037</v>
      </c>
      <c r="E310" s="70" t="s">
        <v>117</v>
      </c>
      <c r="F310" s="73" t="n">
        <v>15700000</v>
      </c>
      <c r="G310" s="72" t="s">
        <v>159</v>
      </c>
      <c r="H310" s="70" t="s">
        <v>174</v>
      </c>
      <c r="I310" s="70" t="s">
        <v>92</v>
      </c>
      <c r="J310" s="72" t="s">
        <v>103</v>
      </c>
      <c r="K310" s="70" t="s">
        <v>120</v>
      </c>
      <c r="L310" s="71" t="n">
        <v>45583</v>
      </c>
      <c r="M310" s="71" t="n">
        <v>46202</v>
      </c>
      <c r="N310" s="74" t="n">
        <v>-7</v>
      </c>
      <c r="O310" s="70" t="s">
        <v>95</v>
      </c>
      <c r="P310" s="72"/>
    </row>
    <row r="311" customFormat="false" ht="15" hidden="false" customHeight="true" outlineLevel="0" collapsed="false">
      <c r="A311" s="75" t="s">
        <v>1038</v>
      </c>
      <c r="B311" s="76" t="n">
        <v>45475</v>
      </c>
      <c r="C311" s="77" t="s">
        <v>1039</v>
      </c>
      <c r="D311" s="75" t="s">
        <v>1040</v>
      </c>
      <c r="E311" s="75" t="s">
        <v>99</v>
      </c>
      <c r="F311" s="78" t="n">
        <v>14400000</v>
      </c>
      <c r="G311" s="77" t="s">
        <v>130</v>
      </c>
      <c r="H311" s="75" t="s">
        <v>174</v>
      </c>
      <c r="I311" s="75" t="s">
        <v>119</v>
      </c>
      <c r="J311" s="77" t="s">
        <v>170</v>
      </c>
      <c r="K311" s="75" t="s">
        <v>104</v>
      </c>
      <c r="L311" s="76" t="n">
        <v>45476</v>
      </c>
      <c r="M311" s="76" t="n">
        <v>46202</v>
      </c>
      <c r="N311" s="79" t="n">
        <v>-7</v>
      </c>
      <c r="O311" s="75" t="s">
        <v>95</v>
      </c>
      <c r="P311" s="77"/>
    </row>
    <row r="312" customFormat="false" ht="15" hidden="false" customHeight="true" outlineLevel="0" collapsed="false">
      <c r="A312" s="70" t="s">
        <v>1041</v>
      </c>
      <c r="B312" s="71" t="n">
        <v>45469</v>
      </c>
      <c r="C312" s="72" t="s">
        <v>1042</v>
      </c>
      <c r="D312" s="70" t="s">
        <v>1043</v>
      </c>
      <c r="E312" s="70" t="s">
        <v>155</v>
      </c>
      <c r="F312" s="73" t="n">
        <v>5400000</v>
      </c>
      <c r="G312" s="72" t="s">
        <v>195</v>
      </c>
      <c r="H312" s="70" t="s">
        <v>118</v>
      </c>
      <c r="I312" s="70" t="s">
        <v>111</v>
      </c>
      <c r="J312" s="72" t="s">
        <v>124</v>
      </c>
      <c r="K312" s="70" t="s">
        <v>125</v>
      </c>
      <c r="L312" s="71" t="n">
        <v>45474</v>
      </c>
      <c r="M312" s="71" t="n">
        <v>45476</v>
      </c>
      <c r="N312" s="74" t="n">
        <v>719</v>
      </c>
      <c r="O312" s="70" t="s">
        <v>113</v>
      </c>
      <c r="P312" s="72"/>
    </row>
    <row r="313" customFormat="false" ht="15" hidden="false" customHeight="true" outlineLevel="0" collapsed="false">
      <c r="A313" s="75" t="s">
        <v>1044</v>
      </c>
      <c r="B313" s="76" t="n">
        <v>45656</v>
      </c>
      <c r="C313" s="77" t="s">
        <v>1045</v>
      </c>
      <c r="D313" s="75" t="s">
        <v>1046</v>
      </c>
      <c r="E313" s="75" t="s">
        <v>136</v>
      </c>
      <c r="F313" s="78" t="n">
        <v>13800000</v>
      </c>
      <c r="G313" s="77" t="s">
        <v>186</v>
      </c>
      <c r="H313" s="75" t="s">
        <v>174</v>
      </c>
      <c r="I313" s="75" t="s">
        <v>119</v>
      </c>
      <c r="J313" s="77" t="s">
        <v>191</v>
      </c>
      <c r="K313" s="75" t="s">
        <v>120</v>
      </c>
      <c r="L313" s="76" t="n">
        <v>45658</v>
      </c>
      <c r="M313" s="76" t="n">
        <v>46206</v>
      </c>
      <c r="N313" s="79" t="n">
        <v>-11</v>
      </c>
      <c r="O313" s="75" t="s">
        <v>95</v>
      </c>
      <c r="P313" s="77"/>
    </row>
    <row r="314" customFormat="false" ht="15" hidden="false" customHeight="true" outlineLevel="0" collapsed="false">
      <c r="A314" s="70" t="s">
        <v>1047</v>
      </c>
      <c r="B314" s="71" t="n">
        <v>45559</v>
      </c>
      <c r="C314" s="72" t="s">
        <v>1048</v>
      </c>
      <c r="D314" s="70" t="s">
        <v>1049</v>
      </c>
      <c r="E314" s="70" t="s">
        <v>108</v>
      </c>
      <c r="F314" s="73" t="n">
        <v>34300000</v>
      </c>
      <c r="G314" s="72" t="s">
        <v>195</v>
      </c>
      <c r="H314" s="70" t="s">
        <v>110</v>
      </c>
      <c r="I314" s="70" t="s">
        <v>92</v>
      </c>
      <c r="J314" s="72" t="s">
        <v>124</v>
      </c>
      <c r="K314" s="70" t="s">
        <v>94</v>
      </c>
      <c r="L314" s="71" t="n">
        <v>45562</v>
      </c>
      <c r="M314" s="71" t="n">
        <v>46191</v>
      </c>
      <c r="N314" s="74" t="n">
        <v>4</v>
      </c>
      <c r="O314" s="70" t="s">
        <v>113</v>
      </c>
      <c r="P314" s="72"/>
    </row>
    <row r="315" customFormat="false" ht="15" hidden="false" customHeight="true" outlineLevel="0" collapsed="false">
      <c r="A315" s="75" t="s">
        <v>1050</v>
      </c>
      <c r="B315" s="76" t="n">
        <v>45616</v>
      </c>
      <c r="C315" s="77" t="s">
        <v>432</v>
      </c>
      <c r="D315" s="75" t="s">
        <v>1051</v>
      </c>
      <c r="E315" s="75" t="s">
        <v>239</v>
      </c>
      <c r="F315" s="78" t="n">
        <v>6200000</v>
      </c>
      <c r="G315" s="77" t="s">
        <v>109</v>
      </c>
      <c r="H315" s="75" t="s">
        <v>118</v>
      </c>
      <c r="I315" s="75" t="s">
        <v>102</v>
      </c>
      <c r="J315" s="77" t="s">
        <v>112</v>
      </c>
      <c r="K315" s="75" t="s">
        <v>205</v>
      </c>
      <c r="L315" s="76" t="n">
        <v>45621</v>
      </c>
      <c r="M315" s="76" t="n">
        <v>45626</v>
      </c>
      <c r="N315" s="79" t="n">
        <v>569</v>
      </c>
      <c r="O315" s="75" t="s">
        <v>113</v>
      </c>
      <c r="P315" s="77"/>
    </row>
    <row r="316" customFormat="false" ht="15" hidden="false" customHeight="true" outlineLevel="0" collapsed="false">
      <c r="A316" s="70" t="s">
        <v>1052</v>
      </c>
      <c r="B316" s="71" t="n">
        <v>45497</v>
      </c>
      <c r="C316" s="72" t="s">
        <v>852</v>
      </c>
      <c r="D316" s="70" t="s">
        <v>1053</v>
      </c>
      <c r="E316" s="70" t="s">
        <v>165</v>
      </c>
      <c r="F316" s="73" t="n">
        <v>11100000</v>
      </c>
      <c r="G316" s="72" t="s">
        <v>166</v>
      </c>
      <c r="H316" s="70" t="s">
        <v>131</v>
      </c>
      <c r="I316" s="70" t="s">
        <v>92</v>
      </c>
      <c r="J316" s="72" t="s">
        <v>191</v>
      </c>
      <c r="K316" s="70" t="s">
        <v>120</v>
      </c>
      <c r="L316" s="71" t="n">
        <v>45499</v>
      </c>
      <c r="M316" s="71" t="n">
        <v>46196</v>
      </c>
      <c r="N316" s="74" t="n">
        <v>-1</v>
      </c>
      <c r="O316" s="70" t="s">
        <v>95</v>
      </c>
      <c r="P316" s="72"/>
    </row>
    <row r="317" customFormat="false" ht="15" hidden="false" customHeight="true" outlineLevel="0" collapsed="false">
      <c r="A317" s="75" t="s">
        <v>1054</v>
      </c>
      <c r="B317" s="76" t="n">
        <v>45702</v>
      </c>
      <c r="C317" s="77" t="s">
        <v>1055</v>
      </c>
      <c r="D317" s="75" t="s">
        <v>1056</v>
      </c>
      <c r="E317" s="75" t="s">
        <v>129</v>
      </c>
      <c r="F317" s="78" t="n">
        <v>9800000</v>
      </c>
      <c r="G317" s="77" t="s">
        <v>159</v>
      </c>
      <c r="H317" s="75" t="s">
        <v>131</v>
      </c>
      <c r="I317" s="75" t="s">
        <v>119</v>
      </c>
      <c r="J317" s="77" t="s">
        <v>112</v>
      </c>
      <c r="K317" s="75" t="s">
        <v>125</v>
      </c>
      <c r="L317" s="76" t="n">
        <v>45703</v>
      </c>
      <c r="M317" s="76" t="n">
        <v>45708</v>
      </c>
      <c r="N317" s="79" t="n">
        <v>487</v>
      </c>
      <c r="O317" s="75" t="s">
        <v>113</v>
      </c>
      <c r="P317" s="77"/>
    </row>
    <row r="318" customFormat="false" ht="15" hidden="false" customHeight="true" outlineLevel="0" collapsed="false">
      <c r="A318" s="70" t="s">
        <v>1057</v>
      </c>
      <c r="B318" s="71" t="n">
        <v>45625</v>
      </c>
      <c r="C318" s="72" t="s">
        <v>1058</v>
      </c>
      <c r="D318" s="70" t="s">
        <v>1059</v>
      </c>
      <c r="E318" s="70" t="s">
        <v>108</v>
      </c>
      <c r="F318" s="73" t="n">
        <v>13900000</v>
      </c>
      <c r="G318" s="72" t="s">
        <v>159</v>
      </c>
      <c r="H318" s="70" t="s">
        <v>174</v>
      </c>
      <c r="I318" s="70" t="s">
        <v>119</v>
      </c>
      <c r="J318" s="72" t="s">
        <v>93</v>
      </c>
      <c r="K318" s="70" t="s">
        <v>161</v>
      </c>
      <c r="L318" s="71" t="n">
        <v>45627</v>
      </c>
      <c r="M318" s="71" t="n">
        <v>46193</v>
      </c>
      <c r="N318" s="74" t="n">
        <v>2</v>
      </c>
      <c r="O318" s="70" t="s">
        <v>113</v>
      </c>
      <c r="P318" s="72"/>
    </row>
    <row r="319" customFormat="false" ht="15" hidden="false" customHeight="true" outlineLevel="0" collapsed="false">
      <c r="A319" s="75" t="s">
        <v>1060</v>
      </c>
      <c r="B319" s="76" t="n">
        <v>45453</v>
      </c>
      <c r="C319" s="77" t="s">
        <v>1061</v>
      </c>
      <c r="D319" s="75" t="s">
        <v>1062</v>
      </c>
      <c r="E319" s="75" t="s">
        <v>136</v>
      </c>
      <c r="F319" s="78" t="n">
        <v>30700000</v>
      </c>
      <c r="G319" s="77" t="s">
        <v>159</v>
      </c>
      <c r="H319" s="75" t="s">
        <v>110</v>
      </c>
      <c r="I319" s="75" t="s">
        <v>111</v>
      </c>
      <c r="J319" s="77" t="s">
        <v>148</v>
      </c>
      <c r="K319" s="75" t="s">
        <v>161</v>
      </c>
      <c r="L319" s="76" t="n">
        <v>45457</v>
      </c>
      <c r="M319" s="76" t="n">
        <v>46190</v>
      </c>
      <c r="N319" s="79" t="n">
        <v>5</v>
      </c>
      <c r="O319" s="75" t="s">
        <v>113</v>
      </c>
      <c r="P319" s="77"/>
    </row>
    <row r="320" customFormat="false" ht="15" hidden="false" customHeight="true" outlineLevel="0" collapsed="false">
      <c r="A320" s="70" t="s">
        <v>1063</v>
      </c>
      <c r="B320" s="71" t="n">
        <v>45650</v>
      </c>
      <c r="C320" s="72" t="s">
        <v>1064</v>
      </c>
      <c r="D320" s="70" t="s">
        <v>1065</v>
      </c>
      <c r="E320" s="70" t="s">
        <v>141</v>
      </c>
      <c r="F320" s="73" t="n">
        <v>12800000</v>
      </c>
      <c r="G320" s="72" t="s">
        <v>159</v>
      </c>
      <c r="H320" s="70" t="s">
        <v>174</v>
      </c>
      <c r="I320" s="70" t="s">
        <v>137</v>
      </c>
      <c r="J320" s="72" t="s">
        <v>124</v>
      </c>
      <c r="K320" s="70" t="s">
        <v>125</v>
      </c>
      <c r="L320" s="71" t="n">
        <v>45652</v>
      </c>
      <c r="M320" s="71" t="n">
        <v>45655</v>
      </c>
      <c r="N320" s="74" t="n">
        <v>540</v>
      </c>
      <c r="O320" s="70" t="s">
        <v>113</v>
      </c>
      <c r="P320" s="72"/>
    </row>
    <row r="321" customFormat="false" ht="15" hidden="false" customHeight="true" outlineLevel="0" collapsed="false">
      <c r="A321" s="75" t="s">
        <v>1066</v>
      </c>
      <c r="B321" s="76" t="n">
        <v>45389</v>
      </c>
      <c r="C321" s="77" t="s">
        <v>1067</v>
      </c>
      <c r="D321" s="75" t="s">
        <v>1068</v>
      </c>
      <c r="E321" s="75" t="s">
        <v>108</v>
      </c>
      <c r="F321" s="78" t="n">
        <v>9400000</v>
      </c>
      <c r="G321" s="77" t="s">
        <v>166</v>
      </c>
      <c r="H321" s="75" t="s">
        <v>91</v>
      </c>
      <c r="I321" s="75" t="s">
        <v>119</v>
      </c>
      <c r="J321" s="77" t="s">
        <v>209</v>
      </c>
      <c r="K321" s="75" t="s">
        <v>104</v>
      </c>
      <c r="L321" s="76" t="n">
        <v>45390</v>
      </c>
      <c r="M321" s="76" t="n">
        <v>46190</v>
      </c>
      <c r="N321" s="79" t="n">
        <v>5</v>
      </c>
      <c r="O321" s="75" t="s">
        <v>113</v>
      </c>
      <c r="P321" s="77"/>
    </row>
    <row r="322" customFormat="false" ht="15" hidden="false" customHeight="true" outlineLevel="0" collapsed="false">
      <c r="A322" s="70" t="s">
        <v>1069</v>
      </c>
      <c r="B322" s="71" t="n">
        <v>45616</v>
      </c>
      <c r="C322" s="72" t="s">
        <v>1070</v>
      </c>
      <c r="D322" s="70" t="s">
        <v>1071</v>
      </c>
      <c r="E322" s="70" t="s">
        <v>141</v>
      </c>
      <c r="F322" s="73" t="n">
        <v>34100000</v>
      </c>
      <c r="G322" s="72" t="s">
        <v>159</v>
      </c>
      <c r="H322" s="70" t="s">
        <v>110</v>
      </c>
      <c r="I322" s="70" t="s">
        <v>102</v>
      </c>
      <c r="J322" s="72" t="s">
        <v>112</v>
      </c>
      <c r="K322" s="70" t="s">
        <v>94</v>
      </c>
      <c r="L322" s="71" t="n">
        <v>45619</v>
      </c>
      <c r="M322" s="71" t="n">
        <v>46195</v>
      </c>
      <c r="N322" s="74" t="n">
        <v>0</v>
      </c>
      <c r="O322" s="70" t="s">
        <v>551</v>
      </c>
      <c r="P322" s="72"/>
    </row>
    <row r="323" customFormat="false" ht="15" hidden="false" customHeight="true" outlineLevel="0" collapsed="false">
      <c r="A323" s="75" t="s">
        <v>1072</v>
      </c>
      <c r="B323" s="76" t="n">
        <v>45406</v>
      </c>
      <c r="C323" s="77" t="s">
        <v>1073</v>
      </c>
      <c r="D323" s="75" t="s">
        <v>1074</v>
      </c>
      <c r="E323" s="75" t="s">
        <v>108</v>
      </c>
      <c r="F323" s="78" t="n">
        <v>12100000</v>
      </c>
      <c r="G323" s="77" t="s">
        <v>90</v>
      </c>
      <c r="H323" s="75" t="s">
        <v>131</v>
      </c>
      <c r="I323" s="75" t="s">
        <v>119</v>
      </c>
      <c r="J323" s="77" t="s">
        <v>93</v>
      </c>
      <c r="K323" s="75" t="s">
        <v>120</v>
      </c>
      <c r="L323" s="76" t="n">
        <v>45407</v>
      </c>
      <c r="M323" s="76" t="n">
        <v>46191</v>
      </c>
      <c r="N323" s="79" t="n">
        <v>4</v>
      </c>
      <c r="O323" s="75" t="s">
        <v>113</v>
      </c>
      <c r="P323" s="77"/>
    </row>
    <row r="324" customFormat="false" ht="15" hidden="false" customHeight="true" outlineLevel="0" collapsed="false">
      <c r="A324" s="70" t="s">
        <v>1075</v>
      </c>
      <c r="B324" s="71" t="n">
        <v>45558</v>
      </c>
      <c r="C324" s="72" t="s">
        <v>1076</v>
      </c>
      <c r="D324" s="70" t="s">
        <v>1077</v>
      </c>
      <c r="E324" s="70" t="s">
        <v>165</v>
      </c>
      <c r="F324" s="73" t="n">
        <v>18300000</v>
      </c>
      <c r="G324" s="72" t="s">
        <v>166</v>
      </c>
      <c r="H324" s="70" t="s">
        <v>101</v>
      </c>
      <c r="I324" s="70" t="s">
        <v>85</v>
      </c>
      <c r="J324" s="72" t="s">
        <v>93</v>
      </c>
      <c r="K324" s="70" t="s">
        <v>143</v>
      </c>
      <c r="L324" s="71" t="n">
        <v>45560</v>
      </c>
      <c r="M324" s="71" t="n">
        <v>46190</v>
      </c>
      <c r="N324" s="74" t="n">
        <v>5</v>
      </c>
      <c r="O324" s="70" t="s">
        <v>113</v>
      </c>
      <c r="P324" s="72" t="s">
        <v>187</v>
      </c>
    </row>
    <row r="325" customFormat="false" ht="15" hidden="false" customHeight="true" outlineLevel="0" collapsed="false">
      <c r="A325" s="75" t="s">
        <v>1078</v>
      </c>
      <c r="B325" s="76" t="n">
        <v>45413</v>
      </c>
      <c r="C325" s="77" t="s">
        <v>1079</v>
      </c>
      <c r="D325" s="75" t="s">
        <v>1080</v>
      </c>
      <c r="E325" s="75" t="s">
        <v>89</v>
      </c>
      <c r="F325" s="78" t="n">
        <v>14700000</v>
      </c>
      <c r="G325" s="77" t="s">
        <v>166</v>
      </c>
      <c r="H325" s="75" t="s">
        <v>174</v>
      </c>
      <c r="I325" s="75" t="s">
        <v>160</v>
      </c>
      <c r="J325" s="77" t="s">
        <v>170</v>
      </c>
      <c r="K325" s="75" t="s">
        <v>120</v>
      </c>
      <c r="L325" s="76" t="n">
        <v>45415</v>
      </c>
      <c r="M325" s="76" t="n">
        <v>46189</v>
      </c>
      <c r="N325" s="79" t="n">
        <v>6</v>
      </c>
      <c r="O325" s="75" t="s">
        <v>113</v>
      </c>
      <c r="P325" s="77"/>
    </row>
    <row r="326" customFormat="false" ht="15" hidden="false" customHeight="true" outlineLevel="0" collapsed="false">
      <c r="A326" s="70" t="s">
        <v>1081</v>
      </c>
      <c r="B326" s="71" t="n">
        <v>45449</v>
      </c>
      <c r="C326" s="72" t="s">
        <v>1082</v>
      </c>
      <c r="D326" s="70" t="s">
        <v>1083</v>
      </c>
      <c r="E326" s="70" t="s">
        <v>155</v>
      </c>
      <c r="F326" s="73" t="n">
        <v>9100000</v>
      </c>
      <c r="G326" s="72" t="s">
        <v>166</v>
      </c>
      <c r="H326" s="70" t="s">
        <v>91</v>
      </c>
      <c r="I326" s="70" t="s">
        <v>119</v>
      </c>
      <c r="J326" s="72" t="s">
        <v>209</v>
      </c>
      <c r="K326" s="70" t="s">
        <v>161</v>
      </c>
      <c r="L326" s="71" t="n">
        <v>45453</v>
      </c>
      <c r="M326" s="71" t="n">
        <v>46202</v>
      </c>
      <c r="N326" s="74" t="n">
        <v>-7</v>
      </c>
      <c r="O326" s="70" t="s">
        <v>95</v>
      </c>
      <c r="P326" s="72"/>
    </row>
    <row r="327" customFormat="false" ht="15" hidden="false" customHeight="true" outlineLevel="0" collapsed="false">
      <c r="A327" s="75" t="s">
        <v>1084</v>
      </c>
      <c r="B327" s="76" t="n">
        <v>45678</v>
      </c>
      <c r="C327" s="77" t="s">
        <v>492</v>
      </c>
      <c r="D327" s="75" t="s">
        <v>1085</v>
      </c>
      <c r="E327" s="75" t="s">
        <v>141</v>
      </c>
      <c r="F327" s="78" t="n">
        <v>27300000</v>
      </c>
      <c r="G327" s="77" t="s">
        <v>90</v>
      </c>
      <c r="H327" s="75" t="s">
        <v>110</v>
      </c>
      <c r="I327" s="75" t="s">
        <v>102</v>
      </c>
      <c r="J327" s="77" t="s">
        <v>103</v>
      </c>
      <c r="K327" s="75" t="s">
        <v>125</v>
      </c>
      <c r="L327" s="76" t="n">
        <v>45683</v>
      </c>
      <c r="M327" s="76" t="n">
        <v>45685</v>
      </c>
      <c r="N327" s="79" t="n">
        <v>510</v>
      </c>
      <c r="O327" s="75" t="s">
        <v>113</v>
      </c>
      <c r="P327" s="77"/>
    </row>
    <row r="328" customFormat="false" ht="15" hidden="false" customHeight="true" outlineLevel="0" collapsed="false">
      <c r="A328" s="70" t="s">
        <v>1086</v>
      </c>
      <c r="B328" s="71" t="n">
        <v>45722</v>
      </c>
      <c r="C328" s="72" t="s">
        <v>1087</v>
      </c>
      <c r="D328" s="70" t="s">
        <v>1088</v>
      </c>
      <c r="E328" s="70" t="s">
        <v>89</v>
      </c>
      <c r="F328" s="73" t="n">
        <v>14800000</v>
      </c>
      <c r="G328" s="72" t="s">
        <v>159</v>
      </c>
      <c r="H328" s="70" t="s">
        <v>174</v>
      </c>
      <c r="I328" s="70" t="s">
        <v>85</v>
      </c>
      <c r="J328" s="72" t="s">
        <v>124</v>
      </c>
      <c r="K328" s="70" t="s">
        <v>161</v>
      </c>
      <c r="L328" s="71" t="n">
        <v>45726</v>
      </c>
      <c r="M328" s="71" t="n">
        <v>46191</v>
      </c>
      <c r="N328" s="74" t="n">
        <v>4</v>
      </c>
      <c r="O328" s="70" t="s">
        <v>113</v>
      </c>
      <c r="P328" s="72" t="s">
        <v>494</v>
      </c>
    </row>
    <row r="329" customFormat="false" ht="15" hidden="false" customHeight="true" outlineLevel="0" collapsed="false">
      <c r="A329" s="75" t="s">
        <v>1089</v>
      </c>
      <c r="B329" s="76" t="n">
        <v>45552</v>
      </c>
      <c r="C329" s="77" t="s">
        <v>1090</v>
      </c>
      <c r="D329" s="75" t="s">
        <v>1091</v>
      </c>
      <c r="E329" s="75" t="s">
        <v>214</v>
      </c>
      <c r="F329" s="78" t="n">
        <v>6800000</v>
      </c>
      <c r="G329" s="77" t="s">
        <v>166</v>
      </c>
      <c r="H329" s="75" t="s">
        <v>91</v>
      </c>
      <c r="I329" s="75" t="s">
        <v>160</v>
      </c>
      <c r="J329" s="77" t="s">
        <v>142</v>
      </c>
      <c r="K329" s="75" t="s">
        <v>104</v>
      </c>
      <c r="L329" s="76" t="n">
        <v>45555</v>
      </c>
      <c r="M329" s="76" t="n">
        <v>46188</v>
      </c>
      <c r="N329" s="79" t="n">
        <v>7</v>
      </c>
      <c r="O329" s="75" t="s">
        <v>113</v>
      </c>
      <c r="P329" s="77"/>
    </row>
    <row r="330" customFormat="false" ht="15" hidden="false" customHeight="true" outlineLevel="0" collapsed="false">
      <c r="A330" s="70" t="s">
        <v>1092</v>
      </c>
      <c r="B330" s="71" t="n">
        <v>45638</v>
      </c>
      <c r="C330" s="72" t="s">
        <v>1093</v>
      </c>
      <c r="D330" s="70" t="s">
        <v>1094</v>
      </c>
      <c r="E330" s="70" t="s">
        <v>136</v>
      </c>
      <c r="F330" s="73" t="n">
        <v>5500000</v>
      </c>
      <c r="G330" s="72" t="s">
        <v>100</v>
      </c>
      <c r="H330" s="70" t="s">
        <v>118</v>
      </c>
      <c r="I330" s="70" t="s">
        <v>119</v>
      </c>
      <c r="J330" s="72" t="s">
        <v>148</v>
      </c>
      <c r="K330" s="70" t="s">
        <v>143</v>
      </c>
      <c r="L330" s="71" t="n">
        <v>45642</v>
      </c>
      <c r="M330" s="71" t="n">
        <v>46197</v>
      </c>
      <c r="N330" s="74" t="n">
        <v>-2</v>
      </c>
      <c r="O330" s="70" t="s">
        <v>95</v>
      </c>
      <c r="P330" s="72"/>
    </row>
    <row r="331" customFormat="false" ht="15" hidden="false" customHeight="true" outlineLevel="0" collapsed="false">
      <c r="A331" s="75" t="s">
        <v>1095</v>
      </c>
      <c r="B331" s="76" t="n">
        <v>45692</v>
      </c>
      <c r="C331" s="77" t="s">
        <v>1096</v>
      </c>
      <c r="D331" s="75" t="s">
        <v>1097</v>
      </c>
      <c r="E331" s="75" t="s">
        <v>136</v>
      </c>
      <c r="F331" s="78" t="n">
        <v>5700000</v>
      </c>
      <c r="G331" s="77" t="s">
        <v>186</v>
      </c>
      <c r="H331" s="75" t="s">
        <v>118</v>
      </c>
      <c r="I331" s="75" t="s">
        <v>137</v>
      </c>
      <c r="J331" s="77" t="s">
        <v>178</v>
      </c>
      <c r="K331" s="75" t="s">
        <v>125</v>
      </c>
      <c r="L331" s="76" t="n">
        <v>45697</v>
      </c>
      <c r="M331" s="76" t="n">
        <v>45700</v>
      </c>
      <c r="N331" s="79" t="n">
        <v>495</v>
      </c>
      <c r="O331" s="75" t="s">
        <v>113</v>
      </c>
      <c r="P331" s="77"/>
    </row>
    <row r="332" customFormat="false" ht="15" hidden="false" customHeight="true" outlineLevel="0" collapsed="false">
      <c r="A332" s="70" t="s">
        <v>1098</v>
      </c>
      <c r="B332" s="71" t="n">
        <v>45615</v>
      </c>
      <c r="C332" s="72" t="s">
        <v>1099</v>
      </c>
      <c r="D332" s="70" t="s">
        <v>1100</v>
      </c>
      <c r="E332" s="70" t="s">
        <v>155</v>
      </c>
      <c r="F332" s="73" t="n">
        <v>12500000</v>
      </c>
      <c r="G332" s="72" t="s">
        <v>166</v>
      </c>
      <c r="H332" s="70" t="s">
        <v>131</v>
      </c>
      <c r="I332" s="70" t="s">
        <v>160</v>
      </c>
      <c r="J332" s="72" t="s">
        <v>178</v>
      </c>
      <c r="K332" s="70" t="s">
        <v>125</v>
      </c>
      <c r="L332" s="71" t="n">
        <v>45618</v>
      </c>
      <c r="M332" s="71" t="n">
        <v>45623</v>
      </c>
      <c r="N332" s="74" t="n">
        <v>572</v>
      </c>
      <c r="O332" s="70" t="s">
        <v>113</v>
      </c>
      <c r="P332" s="72"/>
    </row>
    <row r="333" customFormat="false" ht="15" hidden="false" customHeight="true" outlineLevel="0" collapsed="false">
      <c r="A333" s="75" t="s">
        <v>1101</v>
      </c>
      <c r="B333" s="76" t="n">
        <v>45496</v>
      </c>
      <c r="C333" s="77" t="s">
        <v>609</v>
      </c>
      <c r="D333" s="75" t="s">
        <v>1102</v>
      </c>
      <c r="E333" s="75" t="s">
        <v>89</v>
      </c>
      <c r="F333" s="78" t="n">
        <v>29600000</v>
      </c>
      <c r="G333" s="77" t="s">
        <v>130</v>
      </c>
      <c r="H333" s="75" t="s">
        <v>110</v>
      </c>
      <c r="I333" s="75" t="s">
        <v>102</v>
      </c>
      <c r="J333" s="77" t="s">
        <v>93</v>
      </c>
      <c r="K333" s="75" t="s">
        <v>125</v>
      </c>
      <c r="L333" s="76" t="n">
        <v>45497</v>
      </c>
      <c r="M333" s="76" t="n">
        <v>45500</v>
      </c>
      <c r="N333" s="79" t="n">
        <v>695</v>
      </c>
      <c r="O333" s="75" t="s">
        <v>113</v>
      </c>
      <c r="P333" s="77"/>
    </row>
    <row r="334" customFormat="false" ht="15" hidden="false" customHeight="true" outlineLevel="0" collapsed="false">
      <c r="A334" s="70" t="s">
        <v>1103</v>
      </c>
      <c r="B334" s="71" t="n">
        <v>45592</v>
      </c>
      <c r="C334" s="72" t="s">
        <v>1104</v>
      </c>
      <c r="D334" s="70" t="s">
        <v>1105</v>
      </c>
      <c r="E334" s="70" t="s">
        <v>147</v>
      </c>
      <c r="F334" s="73" t="n">
        <v>23800000</v>
      </c>
      <c r="G334" s="72" t="s">
        <v>130</v>
      </c>
      <c r="H334" s="70" t="s">
        <v>110</v>
      </c>
      <c r="I334" s="70" t="s">
        <v>102</v>
      </c>
      <c r="J334" s="72" t="s">
        <v>170</v>
      </c>
      <c r="K334" s="70" t="s">
        <v>161</v>
      </c>
      <c r="L334" s="71" t="n">
        <v>45593</v>
      </c>
      <c r="M334" s="71" t="n">
        <v>46195</v>
      </c>
      <c r="N334" s="74" t="n">
        <v>0</v>
      </c>
      <c r="O334" s="70" t="s">
        <v>551</v>
      </c>
      <c r="P334" s="72"/>
    </row>
    <row r="335" customFormat="false" ht="15" hidden="false" customHeight="true" outlineLevel="0" collapsed="false">
      <c r="A335" s="75" t="s">
        <v>1106</v>
      </c>
      <c r="B335" s="76" t="n">
        <v>45438</v>
      </c>
      <c r="C335" s="77" t="s">
        <v>573</v>
      </c>
      <c r="D335" s="75" t="s">
        <v>1107</v>
      </c>
      <c r="E335" s="75" t="s">
        <v>136</v>
      </c>
      <c r="F335" s="78" t="n">
        <v>15500000</v>
      </c>
      <c r="G335" s="77" t="s">
        <v>100</v>
      </c>
      <c r="H335" s="75" t="s">
        <v>174</v>
      </c>
      <c r="I335" s="75" t="s">
        <v>160</v>
      </c>
      <c r="J335" s="77" t="s">
        <v>124</v>
      </c>
      <c r="K335" s="75" t="s">
        <v>94</v>
      </c>
      <c r="L335" s="76" t="n">
        <v>45442</v>
      </c>
      <c r="M335" s="76" t="n">
        <v>46188</v>
      </c>
      <c r="N335" s="79" t="n">
        <v>7</v>
      </c>
      <c r="O335" s="75" t="s">
        <v>113</v>
      </c>
      <c r="P335" s="77"/>
    </row>
    <row r="336" customFormat="false" ht="15" hidden="false" customHeight="true" outlineLevel="0" collapsed="false">
      <c r="A336" s="70" t="s">
        <v>1108</v>
      </c>
      <c r="B336" s="71" t="n">
        <v>45385</v>
      </c>
      <c r="C336" s="72" t="s">
        <v>1109</v>
      </c>
      <c r="D336" s="70" t="s">
        <v>1110</v>
      </c>
      <c r="E336" s="70" t="s">
        <v>214</v>
      </c>
      <c r="F336" s="73" t="n">
        <v>31900000</v>
      </c>
      <c r="G336" s="72" t="s">
        <v>166</v>
      </c>
      <c r="H336" s="70" t="s">
        <v>110</v>
      </c>
      <c r="I336" s="70" t="s">
        <v>137</v>
      </c>
      <c r="J336" s="72" t="s">
        <v>170</v>
      </c>
      <c r="K336" s="70" t="s">
        <v>205</v>
      </c>
      <c r="L336" s="71" t="n">
        <v>45390</v>
      </c>
      <c r="M336" s="71" t="n">
        <v>45391</v>
      </c>
      <c r="N336" s="74" t="n">
        <v>804</v>
      </c>
      <c r="O336" s="70" t="s">
        <v>113</v>
      </c>
      <c r="P336" s="72"/>
    </row>
    <row r="337" customFormat="false" ht="15" hidden="false" customHeight="true" outlineLevel="0" collapsed="false">
      <c r="A337" s="75" t="s">
        <v>1111</v>
      </c>
      <c r="B337" s="76" t="n">
        <v>45719</v>
      </c>
      <c r="C337" s="77" t="s">
        <v>1112</v>
      </c>
      <c r="D337" s="75" t="s">
        <v>1113</v>
      </c>
      <c r="E337" s="75" t="s">
        <v>147</v>
      </c>
      <c r="F337" s="78" t="n">
        <v>31700000</v>
      </c>
      <c r="G337" s="77" t="s">
        <v>109</v>
      </c>
      <c r="H337" s="75" t="s">
        <v>110</v>
      </c>
      <c r="I337" s="75" t="s">
        <v>92</v>
      </c>
      <c r="J337" s="77" t="s">
        <v>170</v>
      </c>
      <c r="K337" s="75" t="s">
        <v>120</v>
      </c>
      <c r="L337" s="76" t="n">
        <v>45724</v>
      </c>
      <c r="M337" s="76" t="n">
        <v>46203</v>
      </c>
      <c r="N337" s="79" t="n">
        <v>-8</v>
      </c>
      <c r="O337" s="75" t="s">
        <v>95</v>
      </c>
      <c r="P337" s="77"/>
    </row>
    <row r="338" customFormat="false" ht="15" hidden="false" customHeight="true" outlineLevel="0" collapsed="false">
      <c r="A338" s="70" t="s">
        <v>1114</v>
      </c>
      <c r="B338" s="71" t="n">
        <v>45451</v>
      </c>
      <c r="C338" s="72" t="s">
        <v>1115</v>
      </c>
      <c r="D338" s="70" t="s">
        <v>1116</v>
      </c>
      <c r="E338" s="70" t="s">
        <v>89</v>
      </c>
      <c r="F338" s="73" t="n">
        <v>12800000</v>
      </c>
      <c r="G338" s="72" t="s">
        <v>100</v>
      </c>
      <c r="H338" s="70" t="s">
        <v>131</v>
      </c>
      <c r="I338" s="70" t="s">
        <v>111</v>
      </c>
      <c r="J338" s="72" t="s">
        <v>112</v>
      </c>
      <c r="K338" s="70" t="s">
        <v>143</v>
      </c>
      <c r="L338" s="71" t="n">
        <v>45453</v>
      </c>
      <c r="M338" s="71" t="n">
        <v>46200</v>
      </c>
      <c r="N338" s="74" t="n">
        <v>-5</v>
      </c>
      <c r="O338" s="70" t="s">
        <v>95</v>
      </c>
      <c r="P338" s="72"/>
    </row>
    <row r="339" customFormat="false" ht="15" hidden="false" customHeight="true" outlineLevel="0" collapsed="false">
      <c r="A339" s="75" t="s">
        <v>1117</v>
      </c>
      <c r="B339" s="76" t="n">
        <v>45450</v>
      </c>
      <c r="C339" s="77" t="s">
        <v>508</v>
      </c>
      <c r="D339" s="75" t="s">
        <v>1118</v>
      </c>
      <c r="E339" s="75" t="s">
        <v>165</v>
      </c>
      <c r="F339" s="78" t="n">
        <v>7400000</v>
      </c>
      <c r="G339" s="77" t="s">
        <v>100</v>
      </c>
      <c r="H339" s="75" t="s">
        <v>91</v>
      </c>
      <c r="I339" s="75" t="s">
        <v>137</v>
      </c>
      <c r="J339" s="77" t="s">
        <v>112</v>
      </c>
      <c r="K339" s="75" t="s">
        <v>94</v>
      </c>
      <c r="L339" s="76" t="n">
        <v>45452</v>
      </c>
      <c r="M339" s="76" t="n">
        <v>46203</v>
      </c>
      <c r="N339" s="79" t="n">
        <v>-8</v>
      </c>
      <c r="O339" s="75" t="s">
        <v>95</v>
      </c>
      <c r="P339" s="77"/>
    </row>
    <row r="340" customFormat="false" ht="15" hidden="false" customHeight="true" outlineLevel="0" collapsed="false">
      <c r="A340" s="70" t="s">
        <v>1119</v>
      </c>
      <c r="B340" s="71" t="n">
        <v>45656</v>
      </c>
      <c r="C340" s="72" t="s">
        <v>1120</v>
      </c>
      <c r="D340" s="70" t="s">
        <v>1121</v>
      </c>
      <c r="E340" s="70" t="s">
        <v>165</v>
      </c>
      <c r="F340" s="73" t="n">
        <v>20800000</v>
      </c>
      <c r="G340" s="72" t="s">
        <v>166</v>
      </c>
      <c r="H340" s="70" t="s">
        <v>101</v>
      </c>
      <c r="I340" s="70" t="s">
        <v>85</v>
      </c>
      <c r="J340" s="72" t="s">
        <v>191</v>
      </c>
      <c r="K340" s="70" t="s">
        <v>94</v>
      </c>
      <c r="L340" s="71" t="n">
        <v>45659</v>
      </c>
      <c r="M340" s="71" t="n">
        <v>46200</v>
      </c>
      <c r="N340" s="74" t="n">
        <v>-5</v>
      </c>
      <c r="O340" s="70" t="s">
        <v>95</v>
      </c>
      <c r="P340" s="72" t="s">
        <v>494</v>
      </c>
    </row>
    <row r="341" customFormat="false" ht="15" hidden="false" customHeight="true" outlineLevel="0" collapsed="false">
      <c r="A341" s="75" t="s">
        <v>1122</v>
      </c>
      <c r="B341" s="76" t="n">
        <v>45465</v>
      </c>
      <c r="C341" s="77" t="s">
        <v>930</v>
      </c>
      <c r="D341" s="75" t="s">
        <v>1123</v>
      </c>
      <c r="E341" s="75" t="s">
        <v>129</v>
      </c>
      <c r="F341" s="78" t="n">
        <v>22900000</v>
      </c>
      <c r="G341" s="77" t="s">
        <v>195</v>
      </c>
      <c r="H341" s="75" t="s">
        <v>110</v>
      </c>
      <c r="I341" s="75" t="s">
        <v>92</v>
      </c>
      <c r="J341" s="77" t="s">
        <v>112</v>
      </c>
      <c r="K341" s="75" t="s">
        <v>125</v>
      </c>
      <c r="L341" s="76" t="n">
        <v>45468</v>
      </c>
      <c r="M341" s="76" t="n">
        <v>45471</v>
      </c>
      <c r="N341" s="79" t="n">
        <v>724</v>
      </c>
      <c r="O341" s="75" t="s">
        <v>113</v>
      </c>
      <c r="P341" s="77"/>
    </row>
    <row r="342" customFormat="false" ht="15" hidden="false" customHeight="true" outlineLevel="0" collapsed="false">
      <c r="A342" s="70" t="s">
        <v>1124</v>
      </c>
      <c r="B342" s="71" t="n">
        <v>45670</v>
      </c>
      <c r="C342" s="72" t="s">
        <v>1125</v>
      </c>
      <c r="D342" s="70" t="s">
        <v>1126</v>
      </c>
      <c r="E342" s="70" t="s">
        <v>147</v>
      </c>
      <c r="F342" s="73" t="n">
        <v>13300000</v>
      </c>
      <c r="G342" s="72" t="s">
        <v>195</v>
      </c>
      <c r="H342" s="70" t="s">
        <v>131</v>
      </c>
      <c r="I342" s="70" t="s">
        <v>102</v>
      </c>
      <c r="J342" s="72" t="s">
        <v>148</v>
      </c>
      <c r="K342" s="70" t="s">
        <v>125</v>
      </c>
      <c r="L342" s="71" t="n">
        <v>45672</v>
      </c>
      <c r="M342" s="71" t="n">
        <v>45677</v>
      </c>
      <c r="N342" s="74" t="n">
        <v>518</v>
      </c>
      <c r="O342" s="70" t="s">
        <v>113</v>
      </c>
      <c r="P342" s="72"/>
    </row>
    <row r="343" customFormat="false" ht="15" hidden="false" customHeight="true" outlineLevel="0" collapsed="false">
      <c r="A343" s="75" t="s">
        <v>1127</v>
      </c>
      <c r="B343" s="76" t="n">
        <v>45410</v>
      </c>
      <c r="C343" s="77" t="s">
        <v>1128</v>
      </c>
      <c r="D343" s="75" t="s">
        <v>1129</v>
      </c>
      <c r="E343" s="75" t="s">
        <v>89</v>
      </c>
      <c r="F343" s="78" t="n">
        <v>13600000</v>
      </c>
      <c r="G343" s="77" t="s">
        <v>195</v>
      </c>
      <c r="H343" s="75" t="s">
        <v>174</v>
      </c>
      <c r="I343" s="75" t="s">
        <v>119</v>
      </c>
      <c r="J343" s="77" t="s">
        <v>209</v>
      </c>
      <c r="K343" s="75" t="s">
        <v>205</v>
      </c>
      <c r="L343" s="76" t="n">
        <v>45411</v>
      </c>
      <c r="M343" s="76" t="n">
        <v>45414</v>
      </c>
      <c r="N343" s="79" t="n">
        <v>781</v>
      </c>
      <c r="O343" s="75" t="s">
        <v>113</v>
      </c>
      <c r="P343" s="77"/>
    </row>
    <row r="344" customFormat="false" ht="15" hidden="false" customHeight="true" outlineLevel="0" collapsed="false">
      <c r="A344" s="70" t="s">
        <v>1130</v>
      </c>
      <c r="B344" s="71" t="n">
        <v>45482</v>
      </c>
      <c r="C344" s="72" t="s">
        <v>1131</v>
      </c>
      <c r="D344" s="70" t="s">
        <v>1132</v>
      </c>
      <c r="E344" s="70" t="s">
        <v>155</v>
      </c>
      <c r="F344" s="73" t="n">
        <v>20600000</v>
      </c>
      <c r="G344" s="72" t="s">
        <v>130</v>
      </c>
      <c r="H344" s="70" t="s">
        <v>101</v>
      </c>
      <c r="I344" s="70" t="s">
        <v>85</v>
      </c>
      <c r="J344" s="72" t="s">
        <v>148</v>
      </c>
      <c r="K344" s="70" t="s">
        <v>104</v>
      </c>
      <c r="L344" s="71" t="n">
        <v>45485</v>
      </c>
      <c r="M344" s="71" t="n">
        <v>46201</v>
      </c>
      <c r="N344" s="74" t="n">
        <v>-6</v>
      </c>
      <c r="O344" s="70" t="s">
        <v>95</v>
      </c>
      <c r="P344" s="72" t="s">
        <v>132</v>
      </c>
    </row>
    <row r="345" customFormat="false" ht="15" hidden="false" customHeight="true" outlineLevel="0" collapsed="false">
      <c r="A345" s="75" t="s">
        <v>1133</v>
      </c>
      <c r="B345" s="76" t="n">
        <v>45449</v>
      </c>
      <c r="C345" s="77" t="s">
        <v>1134</v>
      </c>
      <c r="D345" s="75" t="s">
        <v>1135</v>
      </c>
      <c r="E345" s="75" t="s">
        <v>89</v>
      </c>
      <c r="F345" s="78" t="n">
        <v>12200000</v>
      </c>
      <c r="G345" s="77" t="s">
        <v>159</v>
      </c>
      <c r="H345" s="75" t="s">
        <v>174</v>
      </c>
      <c r="I345" s="75" t="s">
        <v>119</v>
      </c>
      <c r="J345" s="77" t="s">
        <v>112</v>
      </c>
      <c r="K345" s="75" t="s">
        <v>161</v>
      </c>
      <c r="L345" s="76" t="n">
        <v>45451</v>
      </c>
      <c r="M345" s="76" t="n">
        <v>46205</v>
      </c>
      <c r="N345" s="79" t="n">
        <v>-10</v>
      </c>
      <c r="O345" s="75" t="s">
        <v>95</v>
      </c>
      <c r="P345" s="77"/>
    </row>
    <row r="346" customFormat="false" ht="15" hidden="false" customHeight="true" outlineLevel="0" collapsed="false">
      <c r="A346" s="70" t="s">
        <v>1136</v>
      </c>
      <c r="B346" s="71" t="n">
        <v>45703</v>
      </c>
      <c r="C346" s="72" t="s">
        <v>945</v>
      </c>
      <c r="D346" s="70" t="s">
        <v>1137</v>
      </c>
      <c r="E346" s="70" t="s">
        <v>214</v>
      </c>
      <c r="F346" s="73" t="n">
        <v>4800000</v>
      </c>
      <c r="G346" s="72" t="s">
        <v>109</v>
      </c>
      <c r="H346" s="70" t="s">
        <v>118</v>
      </c>
      <c r="I346" s="70" t="s">
        <v>111</v>
      </c>
      <c r="J346" s="72" t="s">
        <v>148</v>
      </c>
      <c r="K346" s="70" t="s">
        <v>120</v>
      </c>
      <c r="L346" s="71" t="n">
        <v>45708</v>
      </c>
      <c r="M346" s="71" t="n">
        <v>46202</v>
      </c>
      <c r="N346" s="74" t="n">
        <v>-7</v>
      </c>
      <c r="O346" s="70" t="s">
        <v>95</v>
      </c>
      <c r="P346" s="72"/>
    </row>
    <row r="347" customFormat="false" ht="15" hidden="false" customHeight="true" outlineLevel="0" collapsed="false">
      <c r="A347" s="75" t="s">
        <v>1138</v>
      </c>
      <c r="B347" s="76" t="n">
        <v>45641</v>
      </c>
      <c r="C347" s="77" t="s">
        <v>1139</v>
      </c>
      <c r="D347" s="75" t="s">
        <v>1140</v>
      </c>
      <c r="E347" s="75" t="s">
        <v>141</v>
      </c>
      <c r="F347" s="78" t="n">
        <v>17800000</v>
      </c>
      <c r="G347" s="77" t="s">
        <v>130</v>
      </c>
      <c r="H347" s="75" t="s">
        <v>101</v>
      </c>
      <c r="I347" s="75" t="s">
        <v>92</v>
      </c>
      <c r="J347" s="77" t="s">
        <v>103</v>
      </c>
      <c r="K347" s="75" t="s">
        <v>120</v>
      </c>
      <c r="L347" s="76" t="n">
        <v>45643</v>
      </c>
      <c r="M347" s="76" t="n">
        <v>46209</v>
      </c>
      <c r="N347" s="79" t="n">
        <v>-14</v>
      </c>
      <c r="O347" s="75" t="s">
        <v>95</v>
      </c>
      <c r="P347" s="77"/>
    </row>
    <row r="348" customFormat="false" ht="15" hidden="false" customHeight="true" outlineLevel="0" collapsed="false">
      <c r="A348" s="70" t="s">
        <v>1141</v>
      </c>
      <c r="B348" s="71" t="n">
        <v>45494</v>
      </c>
      <c r="C348" s="72" t="s">
        <v>1142</v>
      </c>
      <c r="D348" s="70" t="s">
        <v>1143</v>
      </c>
      <c r="E348" s="70" t="s">
        <v>165</v>
      </c>
      <c r="F348" s="73" t="n">
        <v>9300000</v>
      </c>
      <c r="G348" s="72" t="s">
        <v>100</v>
      </c>
      <c r="H348" s="70" t="s">
        <v>91</v>
      </c>
      <c r="I348" s="70" t="s">
        <v>111</v>
      </c>
      <c r="J348" s="72" t="s">
        <v>209</v>
      </c>
      <c r="K348" s="70" t="s">
        <v>143</v>
      </c>
      <c r="L348" s="71" t="n">
        <v>45499</v>
      </c>
      <c r="M348" s="71" t="n">
        <v>46203</v>
      </c>
      <c r="N348" s="74" t="n">
        <v>-8</v>
      </c>
      <c r="O348" s="70" t="s">
        <v>95</v>
      </c>
      <c r="P348" s="72"/>
    </row>
    <row r="349" customFormat="false" ht="15" hidden="false" customHeight="true" outlineLevel="0" collapsed="false">
      <c r="A349" s="75" t="s">
        <v>1144</v>
      </c>
      <c r="B349" s="76" t="n">
        <v>45507</v>
      </c>
      <c r="C349" s="77" t="s">
        <v>153</v>
      </c>
      <c r="D349" s="75" t="s">
        <v>1145</v>
      </c>
      <c r="E349" s="75" t="s">
        <v>155</v>
      </c>
      <c r="F349" s="78" t="n">
        <v>13000000</v>
      </c>
      <c r="G349" s="77" t="s">
        <v>130</v>
      </c>
      <c r="H349" s="75" t="s">
        <v>174</v>
      </c>
      <c r="I349" s="75" t="s">
        <v>85</v>
      </c>
      <c r="J349" s="77" t="s">
        <v>148</v>
      </c>
      <c r="K349" s="75" t="s">
        <v>205</v>
      </c>
      <c r="L349" s="76" t="n">
        <v>45508</v>
      </c>
      <c r="M349" s="76" t="n">
        <v>45511</v>
      </c>
      <c r="N349" s="79" t="n">
        <v>684</v>
      </c>
      <c r="O349" s="75" t="s">
        <v>113</v>
      </c>
      <c r="P349" s="77" t="s">
        <v>187</v>
      </c>
    </row>
    <row r="350" customFormat="false" ht="15" hidden="false" customHeight="true" outlineLevel="0" collapsed="false">
      <c r="A350" s="70" t="s">
        <v>1146</v>
      </c>
      <c r="B350" s="71" t="n">
        <v>45643</v>
      </c>
      <c r="C350" s="72" t="s">
        <v>1147</v>
      </c>
      <c r="D350" s="70" t="s">
        <v>1148</v>
      </c>
      <c r="E350" s="70" t="s">
        <v>147</v>
      </c>
      <c r="F350" s="73" t="n">
        <v>6400000</v>
      </c>
      <c r="G350" s="72" t="s">
        <v>90</v>
      </c>
      <c r="H350" s="70" t="s">
        <v>118</v>
      </c>
      <c r="I350" s="70" t="s">
        <v>137</v>
      </c>
      <c r="J350" s="72" t="s">
        <v>209</v>
      </c>
      <c r="K350" s="70" t="s">
        <v>161</v>
      </c>
      <c r="L350" s="71" t="n">
        <v>45647</v>
      </c>
      <c r="M350" s="71" t="n">
        <v>46202</v>
      </c>
      <c r="N350" s="74" t="n">
        <v>-7</v>
      </c>
      <c r="O350" s="70" t="s">
        <v>95</v>
      </c>
      <c r="P350" s="72"/>
    </row>
    <row r="351" customFormat="false" ht="15" hidden="false" customHeight="true" outlineLevel="0" collapsed="false">
      <c r="A351" s="75" t="s">
        <v>1149</v>
      </c>
      <c r="B351" s="76" t="n">
        <v>45703</v>
      </c>
      <c r="C351" s="77" t="s">
        <v>496</v>
      </c>
      <c r="D351" s="75" t="s">
        <v>1150</v>
      </c>
      <c r="E351" s="75" t="s">
        <v>147</v>
      </c>
      <c r="F351" s="78" t="n">
        <v>4900000</v>
      </c>
      <c r="G351" s="77" t="s">
        <v>159</v>
      </c>
      <c r="H351" s="75" t="s">
        <v>118</v>
      </c>
      <c r="I351" s="75" t="s">
        <v>160</v>
      </c>
      <c r="J351" s="77" t="s">
        <v>103</v>
      </c>
      <c r="K351" s="75" t="s">
        <v>161</v>
      </c>
      <c r="L351" s="76" t="n">
        <v>45704</v>
      </c>
      <c r="M351" s="76" t="n">
        <v>46193</v>
      </c>
      <c r="N351" s="79" t="n">
        <v>2</v>
      </c>
      <c r="O351" s="75" t="s">
        <v>113</v>
      </c>
      <c r="P351" s="77"/>
    </row>
    <row r="352" customFormat="false" ht="15" hidden="false" customHeight="true" outlineLevel="0" collapsed="false">
      <c r="A352" s="70" t="s">
        <v>1151</v>
      </c>
      <c r="B352" s="71" t="n">
        <v>45419</v>
      </c>
      <c r="C352" s="72" t="s">
        <v>254</v>
      </c>
      <c r="D352" s="70" t="s">
        <v>1152</v>
      </c>
      <c r="E352" s="70" t="s">
        <v>141</v>
      </c>
      <c r="F352" s="73" t="n">
        <v>21900000</v>
      </c>
      <c r="G352" s="72" t="s">
        <v>100</v>
      </c>
      <c r="H352" s="70" t="s">
        <v>101</v>
      </c>
      <c r="I352" s="70" t="s">
        <v>85</v>
      </c>
      <c r="J352" s="72" t="s">
        <v>191</v>
      </c>
      <c r="K352" s="70" t="s">
        <v>94</v>
      </c>
      <c r="L352" s="71" t="n">
        <v>45421</v>
      </c>
      <c r="M352" s="71" t="n">
        <v>46187</v>
      </c>
      <c r="N352" s="74" t="n">
        <v>8</v>
      </c>
      <c r="O352" s="70" t="s">
        <v>113</v>
      </c>
      <c r="P352" s="72" t="s">
        <v>301</v>
      </c>
    </row>
    <row r="353" customFormat="false" ht="15" hidden="false" customHeight="true" outlineLevel="0" collapsed="false">
      <c r="A353" s="75" t="s">
        <v>1153</v>
      </c>
      <c r="B353" s="76" t="n">
        <v>45499</v>
      </c>
      <c r="C353" s="77" t="s">
        <v>191</v>
      </c>
      <c r="D353" s="75" t="s">
        <v>1154</v>
      </c>
      <c r="E353" s="75" t="s">
        <v>141</v>
      </c>
      <c r="F353" s="78" t="n">
        <v>7600000</v>
      </c>
      <c r="G353" s="77" t="s">
        <v>195</v>
      </c>
      <c r="H353" s="75" t="s">
        <v>91</v>
      </c>
      <c r="I353" s="75" t="s">
        <v>137</v>
      </c>
      <c r="J353" s="77" t="s">
        <v>93</v>
      </c>
      <c r="K353" s="75" t="s">
        <v>161</v>
      </c>
      <c r="L353" s="76" t="n">
        <v>45502</v>
      </c>
      <c r="M353" s="76" t="n">
        <v>46200</v>
      </c>
      <c r="N353" s="79" t="n">
        <v>-5</v>
      </c>
      <c r="O353" s="75" t="s">
        <v>95</v>
      </c>
      <c r="P353" s="77"/>
    </row>
    <row r="354" customFormat="false" ht="15" hidden="false" customHeight="true" outlineLevel="0" collapsed="false">
      <c r="A354" s="70" t="s">
        <v>1155</v>
      </c>
      <c r="B354" s="71" t="n">
        <v>45699</v>
      </c>
      <c r="C354" s="72" t="s">
        <v>662</v>
      </c>
      <c r="D354" s="70" t="s">
        <v>1156</v>
      </c>
      <c r="E354" s="70" t="s">
        <v>165</v>
      </c>
      <c r="F354" s="73" t="n">
        <v>14800000</v>
      </c>
      <c r="G354" s="72" t="s">
        <v>195</v>
      </c>
      <c r="H354" s="70" t="s">
        <v>174</v>
      </c>
      <c r="I354" s="70" t="s">
        <v>102</v>
      </c>
      <c r="J354" s="72" t="s">
        <v>103</v>
      </c>
      <c r="K354" s="70" t="s">
        <v>120</v>
      </c>
      <c r="L354" s="71" t="n">
        <v>45700</v>
      </c>
      <c r="M354" s="71" t="n">
        <v>46185</v>
      </c>
      <c r="N354" s="74" t="n">
        <v>10</v>
      </c>
      <c r="O354" s="70" t="s">
        <v>113</v>
      </c>
      <c r="P354" s="72"/>
    </row>
    <row r="355" customFormat="false" ht="15" hidden="false" customHeight="true" outlineLevel="0" collapsed="false">
      <c r="A355" s="75" t="s">
        <v>1157</v>
      </c>
      <c r="B355" s="76" t="n">
        <v>45607</v>
      </c>
      <c r="C355" s="77" t="s">
        <v>1158</v>
      </c>
      <c r="D355" s="75" t="s">
        <v>1159</v>
      </c>
      <c r="E355" s="75" t="s">
        <v>141</v>
      </c>
      <c r="F355" s="78" t="n">
        <v>27100000</v>
      </c>
      <c r="G355" s="77" t="s">
        <v>90</v>
      </c>
      <c r="H355" s="75" t="s">
        <v>110</v>
      </c>
      <c r="I355" s="75" t="s">
        <v>137</v>
      </c>
      <c r="J355" s="77" t="s">
        <v>93</v>
      </c>
      <c r="K355" s="75" t="s">
        <v>104</v>
      </c>
      <c r="L355" s="76" t="n">
        <v>45611</v>
      </c>
      <c r="M355" s="76" t="n">
        <v>46199</v>
      </c>
      <c r="N355" s="79" t="n">
        <v>-4</v>
      </c>
      <c r="O355" s="75" t="s">
        <v>95</v>
      </c>
      <c r="P355" s="77"/>
    </row>
    <row r="356" customFormat="false" ht="15" hidden="false" customHeight="true" outlineLevel="0" collapsed="false">
      <c r="A356" s="70" t="s">
        <v>1160</v>
      </c>
      <c r="B356" s="71" t="n">
        <v>45707</v>
      </c>
      <c r="C356" s="72" t="s">
        <v>1161</v>
      </c>
      <c r="D356" s="70" t="s">
        <v>1162</v>
      </c>
      <c r="E356" s="70" t="s">
        <v>129</v>
      </c>
      <c r="F356" s="73" t="n">
        <v>8100000</v>
      </c>
      <c r="G356" s="72" t="s">
        <v>100</v>
      </c>
      <c r="H356" s="70" t="s">
        <v>91</v>
      </c>
      <c r="I356" s="70" t="s">
        <v>160</v>
      </c>
      <c r="J356" s="72" t="s">
        <v>103</v>
      </c>
      <c r="K356" s="70" t="s">
        <v>104</v>
      </c>
      <c r="L356" s="71" t="n">
        <v>45709</v>
      </c>
      <c r="M356" s="71" t="n">
        <v>46196</v>
      </c>
      <c r="N356" s="74" t="n">
        <v>-1</v>
      </c>
      <c r="O356" s="70" t="s">
        <v>95</v>
      </c>
      <c r="P356" s="72"/>
    </row>
    <row r="357" customFormat="false" ht="15" hidden="false" customHeight="true" outlineLevel="0" collapsed="false">
      <c r="A357" s="75" t="s">
        <v>1163</v>
      </c>
      <c r="B357" s="76" t="n">
        <v>45658</v>
      </c>
      <c r="C357" s="77" t="s">
        <v>1164</v>
      </c>
      <c r="D357" s="75" t="s">
        <v>1165</v>
      </c>
      <c r="E357" s="75" t="s">
        <v>147</v>
      </c>
      <c r="F357" s="78" t="n">
        <v>4600000</v>
      </c>
      <c r="G357" s="77" t="s">
        <v>109</v>
      </c>
      <c r="H357" s="75" t="s">
        <v>118</v>
      </c>
      <c r="I357" s="75" t="s">
        <v>102</v>
      </c>
      <c r="J357" s="77" t="s">
        <v>148</v>
      </c>
      <c r="K357" s="75" t="s">
        <v>161</v>
      </c>
      <c r="L357" s="76" t="n">
        <v>45663</v>
      </c>
      <c r="M357" s="76" t="n">
        <v>46189</v>
      </c>
      <c r="N357" s="79" t="n">
        <v>6</v>
      </c>
      <c r="O357" s="75" t="s">
        <v>113</v>
      </c>
      <c r="P357" s="77"/>
    </row>
    <row r="358" customFormat="false" ht="15" hidden="false" customHeight="true" outlineLevel="0" collapsed="false">
      <c r="A358" s="70" t="s">
        <v>1166</v>
      </c>
      <c r="B358" s="71" t="n">
        <v>45482</v>
      </c>
      <c r="C358" s="72" t="s">
        <v>911</v>
      </c>
      <c r="D358" s="70" t="s">
        <v>1167</v>
      </c>
      <c r="E358" s="70" t="s">
        <v>136</v>
      </c>
      <c r="F358" s="73" t="n">
        <v>7300000</v>
      </c>
      <c r="G358" s="72" t="s">
        <v>109</v>
      </c>
      <c r="H358" s="70" t="s">
        <v>91</v>
      </c>
      <c r="I358" s="70" t="s">
        <v>92</v>
      </c>
      <c r="J358" s="72" t="s">
        <v>148</v>
      </c>
      <c r="K358" s="70" t="s">
        <v>125</v>
      </c>
      <c r="L358" s="71" t="n">
        <v>45483</v>
      </c>
      <c r="M358" s="71" t="n">
        <v>45485</v>
      </c>
      <c r="N358" s="74" t="n">
        <v>710</v>
      </c>
      <c r="O358" s="70" t="s">
        <v>113</v>
      </c>
      <c r="P358" s="72"/>
    </row>
    <row r="359" customFormat="false" ht="15" hidden="false" customHeight="true" outlineLevel="0" collapsed="false">
      <c r="A359" s="75" t="s">
        <v>1168</v>
      </c>
      <c r="B359" s="76" t="n">
        <v>45680</v>
      </c>
      <c r="C359" s="77" t="s">
        <v>1169</v>
      </c>
      <c r="D359" s="75" t="s">
        <v>1170</v>
      </c>
      <c r="E359" s="75" t="s">
        <v>214</v>
      </c>
      <c r="F359" s="78" t="n">
        <v>10100000</v>
      </c>
      <c r="G359" s="77" t="s">
        <v>159</v>
      </c>
      <c r="H359" s="75" t="s">
        <v>131</v>
      </c>
      <c r="I359" s="75" t="s">
        <v>111</v>
      </c>
      <c r="J359" s="77" t="s">
        <v>93</v>
      </c>
      <c r="K359" s="75" t="s">
        <v>104</v>
      </c>
      <c r="L359" s="76" t="n">
        <v>45684</v>
      </c>
      <c r="M359" s="76" t="n">
        <v>46197</v>
      </c>
      <c r="N359" s="79" t="n">
        <v>-2</v>
      </c>
      <c r="O359" s="75" t="s">
        <v>95</v>
      </c>
      <c r="P359" s="77"/>
    </row>
    <row r="360" customFormat="false" ht="15" hidden="false" customHeight="true" outlineLevel="0" collapsed="false">
      <c r="A360" s="70" t="s">
        <v>1171</v>
      </c>
      <c r="B360" s="71" t="n">
        <v>45720</v>
      </c>
      <c r="C360" s="72" t="s">
        <v>1172</v>
      </c>
      <c r="D360" s="70" t="s">
        <v>1173</v>
      </c>
      <c r="E360" s="70" t="s">
        <v>239</v>
      </c>
      <c r="F360" s="73" t="n">
        <v>7800000</v>
      </c>
      <c r="G360" s="72" t="s">
        <v>159</v>
      </c>
      <c r="H360" s="70" t="s">
        <v>91</v>
      </c>
      <c r="I360" s="70" t="s">
        <v>119</v>
      </c>
      <c r="J360" s="72" t="s">
        <v>142</v>
      </c>
      <c r="K360" s="70" t="s">
        <v>104</v>
      </c>
      <c r="L360" s="71" t="n">
        <v>45723</v>
      </c>
      <c r="M360" s="71" t="n">
        <v>46209</v>
      </c>
      <c r="N360" s="74" t="n">
        <v>-14</v>
      </c>
      <c r="O360" s="70" t="s">
        <v>95</v>
      </c>
      <c r="P360" s="72"/>
    </row>
    <row r="361" customFormat="false" ht="15" hidden="false" customHeight="true" outlineLevel="0" collapsed="false">
      <c r="A361" s="75" t="s">
        <v>1174</v>
      </c>
      <c r="B361" s="76" t="n">
        <v>45496</v>
      </c>
      <c r="C361" s="77" t="s">
        <v>1175</v>
      </c>
      <c r="D361" s="75" t="s">
        <v>1176</v>
      </c>
      <c r="E361" s="75" t="s">
        <v>165</v>
      </c>
      <c r="F361" s="78" t="n">
        <v>12700000</v>
      </c>
      <c r="G361" s="77" t="s">
        <v>130</v>
      </c>
      <c r="H361" s="75" t="s">
        <v>174</v>
      </c>
      <c r="I361" s="75" t="s">
        <v>102</v>
      </c>
      <c r="J361" s="77" t="s">
        <v>209</v>
      </c>
      <c r="K361" s="75" t="s">
        <v>104</v>
      </c>
      <c r="L361" s="76" t="n">
        <v>45500</v>
      </c>
      <c r="M361" s="76" t="n">
        <v>46195</v>
      </c>
      <c r="N361" s="79" t="n">
        <v>0</v>
      </c>
      <c r="O361" s="75" t="s">
        <v>551</v>
      </c>
      <c r="P361" s="77"/>
    </row>
    <row r="362" customFormat="false" ht="15" hidden="false" customHeight="true" outlineLevel="0" collapsed="false">
      <c r="A362" s="70" t="s">
        <v>1177</v>
      </c>
      <c r="B362" s="71" t="n">
        <v>45438</v>
      </c>
      <c r="C362" s="72" t="s">
        <v>1178</v>
      </c>
      <c r="D362" s="70" t="s">
        <v>1179</v>
      </c>
      <c r="E362" s="70" t="s">
        <v>214</v>
      </c>
      <c r="F362" s="73" t="n">
        <v>13500000</v>
      </c>
      <c r="G362" s="72" t="s">
        <v>166</v>
      </c>
      <c r="H362" s="70" t="s">
        <v>174</v>
      </c>
      <c r="I362" s="70" t="s">
        <v>160</v>
      </c>
      <c r="J362" s="72" t="s">
        <v>112</v>
      </c>
      <c r="K362" s="70" t="s">
        <v>161</v>
      </c>
      <c r="L362" s="71" t="n">
        <v>45440</v>
      </c>
      <c r="M362" s="71" t="n">
        <v>46207</v>
      </c>
      <c r="N362" s="74" t="n">
        <v>-12</v>
      </c>
      <c r="O362" s="70" t="s">
        <v>95</v>
      </c>
      <c r="P362" s="72"/>
    </row>
    <row r="363" customFormat="false" ht="15" hidden="false" customHeight="true" outlineLevel="0" collapsed="false">
      <c r="A363" s="75" t="s">
        <v>1180</v>
      </c>
      <c r="B363" s="76" t="n">
        <v>45642</v>
      </c>
      <c r="C363" s="77" t="s">
        <v>1181</v>
      </c>
      <c r="D363" s="75" t="s">
        <v>1182</v>
      </c>
      <c r="E363" s="75" t="s">
        <v>147</v>
      </c>
      <c r="F363" s="78" t="n">
        <v>10100000</v>
      </c>
      <c r="G363" s="77" t="s">
        <v>100</v>
      </c>
      <c r="H363" s="75" t="s">
        <v>131</v>
      </c>
      <c r="I363" s="75" t="s">
        <v>85</v>
      </c>
      <c r="J363" s="77" t="s">
        <v>93</v>
      </c>
      <c r="K363" s="75" t="s">
        <v>125</v>
      </c>
      <c r="L363" s="76" t="n">
        <v>45643</v>
      </c>
      <c r="M363" s="76" t="n">
        <v>45648</v>
      </c>
      <c r="N363" s="79" t="n">
        <v>547</v>
      </c>
      <c r="O363" s="75" t="s">
        <v>113</v>
      </c>
      <c r="P363" s="77" t="s">
        <v>187</v>
      </c>
    </row>
    <row r="364" customFormat="false" ht="15" hidden="false" customHeight="true" outlineLevel="0" collapsed="false">
      <c r="A364" s="70" t="s">
        <v>1183</v>
      </c>
      <c r="B364" s="71" t="n">
        <v>45497</v>
      </c>
      <c r="C364" s="72" t="s">
        <v>1184</v>
      </c>
      <c r="D364" s="70" t="s">
        <v>1185</v>
      </c>
      <c r="E364" s="70" t="s">
        <v>147</v>
      </c>
      <c r="F364" s="73" t="n">
        <v>20500000</v>
      </c>
      <c r="G364" s="72" t="s">
        <v>90</v>
      </c>
      <c r="H364" s="70" t="s">
        <v>101</v>
      </c>
      <c r="I364" s="70" t="s">
        <v>119</v>
      </c>
      <c r="J364" s="72" t="s">
        <v>170</v>
      </c>
      <c r="K364" s="70" t="s">
        <v>143</v>
      </c>
      <c r="L364" s="71" t="n">
        <v>45502</v>
      </c>
      <c r="M364" s="71" t="n">
        <v>46210</v>
      </c>
      <c r="N364" s="74" t="n">
        <v>-15</v>
      </c>
      <c r="O364" s="70" t="s">
        <v>95</v>
      </c>
      <c r="P364" s="72"/>
    </row>
    <row r="365" customFormat="false" ht="15" hidden="false" customHeight="true" outlineLevel="0" collapsed="false">
      <c r="A365" s="75" t="s">
        <v>1186</v>
      </c>
      <c r="B365" s="76" t="n">
        <v>45697</v>
      </c>
      <c r="C365" s="77" t="s">
        <v>1187</v>
      </c>
      <c r="D365" s="75" t="s">
        <v>1188</v>
      </c>
      <c r="E365" s="75" t="s">
        <v>147</v>
      </c>
      <c r="F365" s="78" t="n">
        <v>13500000</v>
      </c>
      <c r="G365" s="77" t="s">
        <v>159</v>
      </c>
      <c r="H365" s="75" t="s">
        <v>174</v>
      </c>
      <c r="I365" s="75" t="s">
        <v>137</v>
      </c>
      <c r="J365" s="77" t="s">
        <v>178</v>
      </c>
      <c r="K365" s="75" t="s">
        <v>94</v>
      </c>
      <c r="L365" s="76" t="n">
        <v>45699</v>
      </c>
      <c r="M365" s="76" t="n">
        <v>46203</v>
      </c>
      <c r="N365" s="79" t="n">
        <v>-8</v>
      </c>
      <c r="O365" s="75" t="s">
        <v>95</v>
      </c>
      <c r="P365" s="77"/>
    </row>
    <row r="366" customFormat="false" ht="15" hidden="false" customHeight="true" outlineLevel="0" collapsed="false">
      <c r="A366" s="70" t="s">
        <v>1189</v>
      </c>
      <c r="B366" s="71" t="n">
        <v>45632</v>
      </c>
      <c r="C366" s="72" t="s">
        <v>576</v>
      </c>
      <c r="D366" s="70" t="s">
        <v>1190</v>
      </c>
      <c r="E366" s="70" t="s">
        <v>117</v>
      </c>
      <c r="F366" s="73" t="n">
        <v>34300000</v>
      </c>
      <c r="G366" s="72" t="s">
        <v>109</v>
      </c>
      <c r="H366" s="70" t="s">
        <v>110</v>
      </c>
      <c r="I366" s="70" t="s">
        <v>119</v>
      </c>
      <c r="J366" s="72" t="s">
        <v>209</v>
      </c>
      <c r="K366" s="70" t="s">
        <v>120</v>
      </c>
      <c r="L366" s="71" t="n">
        <v>45634</v>
      </c>
      <c r="M366" s="71" t="n">
        <v>46187</v>
      </c>
      <c r="N366" s="74" t="n">
        <v>8</v>
      </c>
      <c r="O366" s="70" t="s">
        <v>113</v>
      </c>
      <c r="P366" s="72"/>
    </row>
    <row r="367" customFormat="false" ht="15" hidden="false" customHeight="true" outlineLevel="0" collapsed="false">
      <c r="A367" s="75" t="s">
        <v>1191</v>
      </c>
      <c r="B367" s="76" t="n">
        <v>45406</v>
      </c>
      <c r="C367" s="77" t="s">
        <v>1192</v>
      </c>
      <c r="D367" s="75" t="s">
        <v>1193</v>
      </c>
      <c r="E367" s="75" t="s">
        <v>155</v>
      </c>
      <c r="F367" s="78" t="n">
        <v>19000000</v>
      </c>
      <c r="G367" s="77" t="s">
        <v>100</v>
      </c>
      <c r="H367" s="75" t="s">
        <v>101</v>
      </c>
      <c r="I367" s="75" t="s">
        <v>119</v>
      </c>
      <c r="J367" s="77" t="s">
        <v>142</v>
      </c>
      <c r="K367" s="75" t="s">
        <v>205</v>
      </c>
      <c r="L367" s="76" t="n">
        <v>45407</v>
      </c>
      <c r="M367" s="76" t="n">
        <v>45410</v>
      </c>
      <c r="N367" s="79" t="n">
        <v>785</v>
      </c>
      <c r="O367" s="75" t="s">
        <v>113</v>
      </c>
      <c r="P367" s="77"/>
    </row>
    <row r="368" customFormat="false" ht="15" hidden="false" customHeight="true" outlineLevel="0" collapsed="false">
      <c r="A368" s="70" t="s">
        <v>1194</v>
      </c>
      <c r="B368" s="71" t="n">
        <v>45422</v>
      </c>
      <c r="C368" s="72" t="s">
        <v>1195</v>
      </c>
      <c r="D368" s="70" t="s">
        <v>1196</v>
      </c>
      <c r="E368" s="70" t="s">
        <v>117</v>
      </c>
      <c r="F368" s="73" t="n">
        <v>14700000</v>
      </c>
      <c r="G368" s="72" t="s">
        <v>109</v>
      </c>
      <c r="H368" s="70" t="s">
        <v>174</v>
      </c>
      <c r="I368" s="70" t="s">
        <v>119</v>
      </c>
      <c r="J368" s="72" t="s">
        <v>209</v>
      </c>
      <c r="K368" s="70" t="s">
        <v>161</v>
      </c>
      <c r="L368" s="71" t="n">
        <v>45427</v>
      </c>
      <c r="M368" s="71" t="n">
        <v>46195</v>
      </c>
      <c r="N368" s="74" t="n">
        <v>0</v>
      </c>
      <c r="O368" s="70" t="s">
        <v>551</v>
      </c>
      <c r="P368" s="72"/>
    </row>
    <row r="369" customFormat="false" ht="15" hidden="false" customHeight="true" outlineLevel="0" collapsed="false">
      <c r="A369" s="75" t="s">
        <v>1197</v>
      </c>
      <c r="B369" s="76" t="n">
        <v>45454</v>
      </c>
      <c r="C369" s="77" t="s">
        <v>1198</v>
      </c>
      <c r="D369" s="75" t="s">
        <v>1199</v>
      </c>
      <c r="E369" s="75" t="s">
        <v>165</v>
      </c>
      <c r="F369" s="78" t="n">
        <v>15300000</v>
      </c>
      <c r="G369" s="77" t="s">
        <v>130</v>
      </c>
      <c r="H369" s="75" t="s">
        <v>174</v>
      </c>
      <c r="I369" s="75" t="s">
        <v>119</v>
      </c>
      <c r="J369" s="77" t="s">
        <v>148</v>
      </c>
      <c r="K369" s="75" t="s">
        <v>120</v>
      </c>
      <c r="L369" s="76" t="n">
        <v>45458</v>
      </c>
      <c r="M369" s="76" t="n">
        <v>46193</v>
      </c>
      <c r="N369" s="79" t="n">
        <v>2</v>
      </c>
      <c r="O369" s="75" t="s">
        <v>113</v>
      </c>
      <c r="P369" s="77"/>
    </row>
    <row r="370" customFormat="false" ht="15" hidden="false" customHeight="true" outlineLevel="0" collapsed="false">
      <c r="A370" s="70" t="s">
        <v>1200</v>
      </c>
      <c r="B370" s="71" t="n">
        <v>45443</v>
      </c>
      <c r="C370" s="72" t="s">
        <v>1201</v>
      </c>
      <c r="D370" s="70" t="s">
        <v>1202</v>
      </c>
      <c r="E370" s="70" t="s">
        <v>99</v>
      </c>
      <c r="F370" s="73" t="n">
        <v>7200000</v>
      </c>
      <c r="G370" s="72" t="s">
        <v>109</v>
      </c>
      <c r="H370" s="70" t="s">
        <v>91</v>
      </c>
      <c r="I370" s="70" t="s">
        <v>111</v>
      </c>
      <c r="J370" s="72" t="s">
        <v>148</v>
      </c>
      <c r="K370" s="70" t="s">
        <v>94</v>
      </c>
      <c r="L370" s="71" t="n">
        <v>45445</v>
      </c>
      <c r="M370" s="71" t="n">
        <v>46200</v>
      </c>
      <c r="N370" s="74" t="n">
        <v>-5</v>
      </c>
      <c r="O370" s="70" t="s">
        <v>95</v>
      </c>
      <c r="P370" s="72"/>
    </row>
    <row r="371" customFormat="false" ht="15" hidden="false" customHeight="true" outlineLevel="0" collapsed="false">
      <c r="A371" s="75" t="s">
        <v>1203</v>
      </c>
      <c r="B371" s="76" t="n">
        <v>45593</v>
      </c>
      <c r="C371" s="77" t="s">
        <v>1204</v>
      </c>
      <c r="D371" s="75" t="s">
        <v>1205</v>
      </c>
      <c r="E371" s="75" t="s">
        <v>155</v>
      </c>
      <c r="F371" s="78" t="n">
        <v>12900000</v>
      </c>
      <c r="G371" s="77" t="s">
        <v>166</v>
      </c>
      <c r="H371" s="75" t="s">
        <v>174</v>
      </c>
      <c r="I371" s="75" t="s">
        <v>137</v>
      </c>
      <c r="J371" s="77" t="s">
        <v>170</v>
      </c>
      <c r="K371" s="75" t="s">
        <v>94</v>
      </c>
      <c r="L371" s="76" t="n">
        <v>45594</v>
      </c>
      <c r="M371" s="76" t="n">
        <v>46194</v>
      </c>
      <c r="N371" s="79" t="n">
        <v>1</v>
      </c>
      <c r="O371" s="75" t="s">
        <v>113</v>
      </c>
      <c r="P371" s="77"/>
    </row>
    <row r="372" customFormat="false" ht="15" hidden="false" customHeight="true" outlineLevel="0" collapsed="false">
      <c r="A372" s="70" t="s">
        <v>1206</v>
      </c>
      <c r="B372" s="71" t="n">
        <v>45468</v>
      </c>
      <c r="C372" s="72" t="s">
        <v>1207</v>
      </c>
      <c r="D372" s="70" t="s">
        <v>1208</v>
      </c>
      <c r="E372" s="70" t="s">
        <v>129</v>
      </c>
      <c r="F372" s="73" t="n">
        <v>30600000</v>
      </c>
      <c r="G372" s="72" t="s">
        <v>109</v>
      </c>
      <c r="H372" s="70" t="s">
        <v>110</v>
      </c>
      <c r="I372" s="70" t="s">
        <v>102</v>
      </c>
      <c r="J372" s="72" t="s">
        <v>148</v>
      </c>
      <c r="K372" s="70" t="s">
        <v>120</v>
      </c>
      <c r="L372" s="71" t="n">
        <v>45471</v>
      </c>
      <c r="M372" s="71" t="n">
        <v>46194</v>
      </c>
      <c r="N372" s="74" t="n">
        <v>1</v>
      </c>
      <c r="O372" s="70" t="s">
        <v>113</v>
      </c>
      <c r="P372" s="72"/>
    </row>
    <row r="373" customFormat="false" ht="15" hidden="false" customHeight="true" outlineLevel="0" collapsed="false">
      <c r="A373" s="75" t="s">
        <v>1209</v>
      </c>
      <c r="B373" s="76" t="n">
        <v>45493</v>
      </c>
      <c r="C373" s="77" t="s">
        <v>1210</v>
      </c>
      <c r="D373" s="75" t="s">
        <v>1211</v>
      </c>
      <c r="E373" s="75" t="s">
        <v>155</v>
      </c>
      <c r="F373" s="78" t="n">
        <v>34200000</v>
      </c>
      <c r="G373" s="77" t="s">
        <v>195</v>
      </c>
      <c r="H373" s="75" t="s">
        <v>110</v>
      </c>
      <c r="I373" s="75" t="s">
        <v>85</v>
      </c>
      <c r="J373" s="77" t="s">
        <v>112</v>
      </c>
      <c r="K373" s="75" t="s">
        <v>205</v>
      </c>
      <c r="L373" s="76" t="n">
        <v>45497</v>
      </c>
      <c r="M373" s="76" t="n">
        <v>45502</v>
      </c>
      <c r="N373" s="79" t="n">
        <v>693</v>
      </c>
      <c r="O373" s="75" t="s">
        <v>113</v>
      </c>
      <c r="P373" s="77" t="s">
        <v>301</v>
      </c>
    </row>
    <row r="374" customFormat="false" ht="15" hidden="false" customHeight="true" outlineLevel="0" collapsed="false">
      <c r="A374" s="70" t="s">
        <v>1212</v>
      </c>
      <c r="B374" s="71" t="n">
        <v>45558</v>
      </c>
      <c r="C374" s="72" t="s">
        <v>1213</v>
      </c>
      <c r="D374" s="70" t="s">
        <v>1214</v>
      </c>
      <c r="E374" s="70" t="s">
        <v>136</v>
      </c>
      <c r="F374" s="73" t="n">
        <v>17500000</v>
      </c>
      <c r="G374" s="72" t="s">
        <v>109</v>
      </c>
      <c r="H374" s="70" t="s">
        <v>101</v>
      </c>
      <c r="I374" s="70" t="s">
        <v>137</v>
      </c>
      <c r="J374" s="72" t="s">
        <v>103</v>
      </c>
      <c r="K374" s="70" t="s">
        <v>104</v>
      </c>
      <c r="L374" s="71" t="n">
        <v>45562</v>
      </c>
      <c r="M374" s="71" t="n">
        <v>46206</v>
      </c>
      <c r="N374" s="74" t="n">
        <v>-11</v>
      </c>
      <c r="O374" s="70" t="s">
        <v>95</v>
      </c>
      <c r="P374" s="72"/>
    </row>
    <row r="375" customFormat="false" ht="15" hidden="false" customHeight="true" outlineLevel="0" collapsed="false">
      <c r="A375" s="75" t="s">
        <v>1215</v>
      </c>
      <c r="B375" s="76" t="n">
        <v>45641</v>
      </c>
      <c r="C375" s="77" t="s">
        <v>1216</v>
      </c>
      <c r="D375" s="75" t="s">
        <v>1217</v>
      </c>
      <c r="E375" s="75" t="s">
        <v>136</v>
      </c>
      <c r="F375" s="78" t="n">
        <v>4500000</v>
      </c>
      <c r="G375" s="77" t="s">
        <v>109</v>
      </c>
      <c r="H375" s="75" t="s">
        <v>118</v>
      </c>
      <c r="I375" s="75" t="s">
        <v>92</v>
      </c>
      <c r="J375" s="77" t="s">
        <v>103</v>
      </c>
      <c r="K375" s="75" t="s">
        <v>125</v>
      </c>
      <c r="L375" s="76" t="n">
        <v>45645</v>
      </c>
      <c r="M375" s="76" t="n">
        <v>45647</v>
      </c>
      <c r="N375" s="79" t="n">
        <v>548</v>
      </c>
      <c r="O375" s="75" t="s">
        <v>113</v>
      </c>
      <c r="P375" s="77"/>
    </row>
    <row r="376" customFormat="false" ht="15" hidden="false" customHeight="true" outlineLevel="0" collapsed="false">
      <c r="A376" s="70" t="s">
        <v>1218</v>
      </c>
      <c r="B376" s="71" t="n">
        <v>45720</v>
      </c>
      <c r="C376" s="72" t="s">
        <v>1219</v>
      </c>
      <c r="D376" s="70" t="s">
        <v>1220</v>
      </c>
      <c r="E376" s="70" t="s">
        <v>117</v>
      </c>
      <c r="F376" s="73" t="n">
        <v>20200000</v>
      </c>
      <c r="G376" s="72" t="s">
        <v>195</v>
      </c>
      <c r="H376" s="70" t="s">
        <v>101</v>
      </c>
      <c r="I376" s="70" t="s">
        <v>160</v>
      </c>
      <c r="J376" s="72" t="s">
        <v>93</v>
      </c>
      <c r="K376" s="70" t="s">
        <v>120</v>
      </c>
      <c r="L376" s="71" t="n">
        <v>45722</v>
      </c>
      <c r="M376" s="71" t="n">
        <v>46183</v>
      </c>
      <c r="N376" s="74" t="n">
        <v>12</v>
      </c>
      <c r="O376" s="70" t="s">
        <v>113</v>
      </c>
      <c r="P376" s="72"/>
    </row>
    <row r="377" customFormat="false" ht="15" hidden="false" customHeight="true" outlineLevel="0" collapsed="false">
      <c r="A377" s="75" t="s">
        <v>1221</v>
      </c>
      <c r="B377" s="76" t="n">
        <v>45629</v>
      </c>
      <c r="C377" s="77" t="s">
        <v>1222</v>
      </c>
      <c r="D377" s="75" t="s">
        <v>1223</v>
      </c>
      <c r="E377" s="75" t="s">
        <v>136</v>
      </c>
      <c r="F377" s="78" t="n">
        <v>6000000</v>
      </c>
      <c r="G377" s="77" t="s">
        <v>130</v>
      </c>
      <c r="H377" s="75" t="s">
        <v>118</v>
      </c>
      <c r="I377" s="75" t="s">
        <v>137</v>
      </c>
      <c r="J377" s="77" t="s">
        <v>191</v>
      </c>
      <c r="K377" s="75" t="s">
        <v>104</v>
      </c>
      <c r="L377" s="76" t="n">
        <v>45633</v>
      </c>
      <c r="M377" s="76" t="n">
        <v>46198</v>
      </c>
      <c r="N377" s="79" t="n">
        <v>-3</v>
      </c>
      <c r="O377" s="75" t="s">
        <v>95</v>
      </c>
      <c r="P377" s="77"/>
    </row>
    <row r="378" customFormat="false" ht="15" hidden="false" customHeight="true" outlineLevel="0" collapsed="false">
      <c r="A378" s="70" t="s">
        <v>1224</v>
      </c>
      <c r="B378" s="71" t="n">
        <v>45661</v>
      </c>
      <c r="C378" s="72" t="s">
        <v>1225</v>
      </c>
      <c r="D378" s="70" t="s">
        <v>1226</v>
      </c>
      <c r="E378" s="70" t="s">
        <v>129</v>
      </c>
      <c r="F378" s="73" t="n">
        <v>15200000</v>
      </c>
      <c r="G378" s="72" t="s">
        <v>90</v>
      </c>
      <c r="H378" s="70" t="s">
        <v>174</v>
      </c>
      <c r="I378" s="70" t="s">
        <v>92</v>
      </c>
      <c r="J378" s="72" t="s">
        <v>93</v>
      </c>
      <c r="K378" s="70" t="s">
        <v>104</v>
      </c>
      <c r="L378" s="71" t="n">
        <v>45665</v>
      </c>
      <c r="M378" s="71" t="n">
        <v>46195</v>
      </c>
      <c r="N378" s="74" t="n">
        <v>0</v>
      </c>
      <c r="O378" s="70" t="s">
        <v>551</v>
      </c>
      <c r="P378" s="72"/>
    </row>
    <row r="379" customFormat="false" ht="15" hidden="false" customHeight="true" outlineLevel="0" collapsed="false">
      <c r="A379" s="75" t="s">
        <v>1227</v>
      </c>
      <c r="B379" s="76" t="n">
        <v>45544</v>
      </c>
      <c r="C379" s="77" t="s">
        <v>1228</v>
      </c>
      <c r="D379" s="75" t="s">
        <v>1229</v>
      </c>
      <c r="E379" s="75" t="s">
        <v>147</v>
      </c>
      <c r="F379" s="78" t="n">
        <v>16100000</v>
      </c>
      <c r="G379" s="77" t="s">
        <v>159</v>
      </c>
      <c r="H379" s="75" t="s">
        <v>101</v>
      </c>
      <c r="I379" s="75" t="s">
        <v>119</v>
      </c>
      <c r="J379" s="77" t="s">
        <v>124</v>
      </c>
      <c r="K379" s="75" t="s">
        <v>94</v>
      </c>
      <c r="L379" s="76" t="n">
        <v>45548</v>
      </c>
      <c r="M379" s="76" t="n">
        <v>46198</v>
      </c>
      <c r="N379" s="79" t="n">
        <v>-3</v>
      </c>
      <c r="O379" s="75" t="s">
        <v>95</v>
      </c>
      <c r="P379" s="77"/>
    </row>
    <row r="380" customFormat="false" ht="15" hidden="false" customHeight="true" outlineLevel="0" collapsed="false">
      <c r="A380" s="70" t="s">
        <v>1230</v>
      </c>
      <c r="B380" s="71" t="n">
        <v>45586</v>
      </c>
      <c r="C380" s="72" t="s">
        <v>1231</v>
      </c>
      <c r="D380" s="70" t="s">
        <v>1232</v>
      </c>
      <c r="E380" s="70" t="s">
        <v>239</v>
      </c>
      <c r="F380" s="73" t="n">
        <v>19600000</v>
      </c>
      <c r="G380" s="72" t="s">
        <v>90</v>
      </c>
      <c r="H380" s="70" t="s">
        <v>101</v>
      </c>
      <c r="I380" s="70" t="s">
        <v>137</v>
      </c>
      <c r="J380" s="72" t="s">
        <v>209</v>
      </c>
      <c r="K380" s="70" t="s">
        <v>161</v>
      </c>
      <c r="L380" s="71" t="n">
        <v>45588</v>
      </c>
      <c r="M380" s="71" t="n">
        <v>46200</v>
      </c>
      <c r="N380" s="74" t="n">
        <v>-5</v>
      </c>
      <c r="O380" s="70" t="s">
        <v>95</v>
      </c>
      <c r="P380" s="72"/>
    </row>
    <row r="381" customFormat="false" ht="15" hidden="false" customHeight="true" outlineLevel="0" collapsed="false">
      <c r="A381" s="75" t="s">
        <v>1233</v>
      </c>
      <c r="B381" s="76" t="n">
        <v>45586</v>
      </c>
      <c r="C381" s="77" t="s">
        <v>1234</v>
      </c>
      <c r="D381" s="75" t="s">
        <v>1235</v>
      </c>
      <c r="E381" s="75" t="s">
        <v>165</v>
      </c>
      <c r="F381" s="78" t="n">
        <v>12100000</v>
      </c>
      <c r="G381" s="77" t="s">
        <v>166</v>
      </c>
      <c r="H381" s="75" t="s">
        <v>131</v>
      </c>
      <c r="I381" s="75" t="s">
        <v>137</v>
      </c>
      <c r="J381" s="77" t="s">
        <v>209</v>
      </c>
      <c r="K381" s="75" t="s">
        <v>125</v>
      </c>
      <c r="L381" s="76" t="n">
        <v>45588</v>
      </c>
      <c r="M381" s="76" t="n">
        <v>45589</v>
      </c>
      <c r="N381" s="79" t="n">
        <v>606</v>
      </c>
      <c r="O381" s="75" t="s">
        <v>113</v>
      </c>
      <c r="P381" s="77"/>
    </row>
    <row r="382" customFormat="false" ht="15" hidden="false" customHeight="true" outlineLevel="0" collapsed="false">
      <c r="A382" s="70" t="s">
        <v>1236</v>
      </c>
      <c r="B382" s="71" t="n">
        <v>45697</v>
      </c>
      <c r="C382" s="72" t="s">
        <v>1237</v>
      </c>
      <c r="D382" s="70" t="s">
        <v>1238</v>
      </c>
      <c r="E382" s="70" t="s">
        <v>141</v>
      </c>
      <c r="F382" s="73" t="n">
        <v>19400000</v>
      </c>
      <c r="G382" s="72" t="s">
        <v>100</v>
      </c>
      <c r="H382" s="70" t="s">
        <v>101</v>
      </c>
      <c r="I382" s="70" t="s">
        <v>160</v>
      </c>
      <c r="J382" s="72" t="s">
        <v>209</v>
      </c>
      <c r="K382" s="70" t="s">
        <v>125</v>
      </c>
      <c r="L382" s="71" t="n">
        <v>45698</v>
      </c>
      <c r="M382" s="71" t="n">
        <v>45700</v>
      </c>
      <c r="N382" s="74" t="n">
        <v>495</v>
      </c>
      <c r="O382" s="70" t="s">
        <v>113</v>
      </c>
      <c r="P382" s="72"/>
    </row>
    <row r="383" customFormat="false" ht="15" hidden="false" customHeight="true" outlineLevel="0" collapsed="false">
      <c r="A383" s="75" t="s">
        <v>1239</v>
      </c>
      <c r="B383" s="76" t="n">
        <v>45572</v>
      </c>
      <c r="C383" s="77" t="s">
        <v>1240</v>
      </c>
      <c r="D383" s="75" t="s">
        <v>1241</v>
      </c>
      <c r="E383" s="75" t="s">
        <v>129</v>
      </c>
      <c r="F383" s="78" t="n">
        <v>19700000</v>
      </c>
      <c r="G383" s="77" t="s">
        <v>166</v>
      </c>
      <c r="H383" s="75" t="s">
        <v>101</v>
      </c>
      <c r="I383" s="75" t="s">
        <v>102</v>
      </c>
      <c r="J383" s="77" t="s">
        <v>93</v>
      </c>
      <c r="K383" s="75" t="s">
        <v>104</v>
      </c>
      <c r="L383" s="76" t="n">
        <v>45573</v>
      </c>
      <c r="M383" s="76" t="n">
        <v>46206</v>
      </c>
      <c r="N383" s="79" t="n">
        <v>-11</v>
      </c>
      <c r="O383" s="75" t="s">
        <v>95</v>
      </c>
      <c r="P383" s="77"/>
    </row>
    <row r="384" customFormat="false" ht="15" hidden="false" customHeight="true" outlineLevel="0" collapsed="false">
      <c r="A384" s="70" t="s">
        <v>1242</v>
      </c>
      <c r="B384" s="71" t="n">
        <v>45607</v>
      </c>
      <c r="C384" s="72" t="s">
        <v>1243</v>
      </c>
      <c r="D384" s="70" t="s">
        <v>1244</v>
      </c>
      <c r="E384" s="70" t="s">
        <v>155</v>
      </c>
      <c r="F384" s="73" t="n">
        <v>32000000</v>
      </c>
      <c r="G384" s="72" t="s">
        <v>90</v>
      </c>
      <c r="H384" s="70" t="s">
        <v>110</v>
      </c>
      <c r="I384" s="70" t="s">
        <v>102</v>
      </c>
      <c r="J384" s="72" t="s">
        <v>170</v>
      </c>
      <c r="K384" s="70" t="s">
        <v>94</v>
      </c>
      <c r="L384" s="71" t="n">
        <v>45608</v>
      </c>
      <c r="M384" s="71" t="n">
        <v>46193</v>
      </c>
      <c r="N384" s="74" t="n">
        <v>2</v>
      </c>
      <c r="O384" s="70" t="s">
        <v>113</v>
      </c>
      <c r="P384" s="72"/>
    </row>
    <row r="385" customFormat="false" ht="15" hidden="false" customHeight="true" outlineLevel="0" collapsed="false">
      <c r="A385" s="75" t="s">
        <v>1245</v>
      </c>
      <c r="B385" s="76" t="n">
        <v>45401</v>
      </c>
      <c r="C385" s="77" t="s">
        <v>1246</v>
      </c>
      <c r="D385" s="75" t="s">
        <v>1247</v>
      </c>
      <c r="E385" s="75" t="s">
        <v>99</v>
      </c>
      <c r="F385" s="78" t="n">
        <v>20300000</v>
      </c>
      <c r="G385" s="77" t="s">
        <v>195</v>
      </c>
      <c r="H385" s="75" t="s">
        <v>101</v>
      </c>
      <c r="I385" s="75" t="s">
        <v>137</v>
      </c>
      <c r="J385" s="77" t="s">
        <v>124</v>
      </c>
      <c r="K385" s="75" t="s">
        <v>161</v>
      </c>
      <c r="L385" s="76" t="n">
        <v>45404</v>
      </c>
      <c r="M385" s="76" t="n">
        <v>46194</v>
      </c>
      <c r="N385" s="79" t="n">
        <v>1</v>
      </c>
      <c r="O385" s="75" t="s">
        <v>113</v>
      </c>
      <c r="P385" s="77"/>
    </row>
    <row r="386" customFormat="false" ht="15" hidden="false" customHeight="true" outlineLevel="0" collapsed="false">
      <c r="A386" s="70" t="s">
        <v>1248</v>
      </c>
      <c r="B386" s="71" t="n">
        <v>45390</v>
      </c>
      <c r="C386" s="72" t="s">
        <v>1249</v>
      </c>
      <c r="D386" s="70" t="s">
        <v>1250</v>
      </c>
      <c r="E386" s="70" t="s">
        <v>239</v>
      </c>
      <c r="F386" s="73" t="n">
        <v>12800000</v>
      </c>
      <c r="G386" s="72" t="s">
        <v>186</v>
      </c>
      <c r="H386" s="70" t="s">
        <v>131</v>
      </c>
      <c r="I386" s="70" t="s">
        <v>119</v>
      </c>
      <c r="J386" s="72" t="s">
        <v>148</v>
      </c>
      <c r="K386" s="70" t="s">
        <v>104</v>
      </c>
      <c r="L386" s="71" t="n">
        <v>45391</v>
      </c>
      <c r="M386" s="71" t="n">
        <v>46189</v>
      </c>
      <c r="N386" s="74" t="n">
        <v>6</v>
      </c>
      <c r="O386" s="70" t="s">
        <v>113</v>
      </c>
      <c r="P386" s="72"/>
    </row>
    <row r="387" customFormat="false" ht="15" hidden="false" customHeight="true" outlineLevel="0" collapsed="false">
      <c r="A387" s="75" t="s">
        <v>1251</v>
      </c>
      <c r="B387" s="76" t="n">
        <v>45589</v>
      </c>
      <c r="C387" s="77" t="s">
        <v>1252</v>
      </c>
      <c r="D387" s="75" t="s">
        <v>1253</v>
      </c>
      <c r="E387" s="75" t="s">
        <v>165</v>
      </c>
      <c r="F387" s="78" t="n">
        <v>11400000</v>
      </c>
      <c r="G387" s="77" t="s">
        <v>130</v>
      </c>
      <c r="H387" s="75" t="s">
        <v>131</v>
      </c>
      <c r="I387" s="75" t="s">
        <v>137</v>
      </c>
      <c r="J387" s="77" t="s">
        <v>124</v>
      </c>
      <c r="K387" s="75" t="s">
        <v>143</v>
      </c>
      <c r="L387" s="76" t="n">
        <v>45594</v>
      </c>
      <c r="M387" s="76" t="n">
        <v>46187</v>
      </c>
      <c r="N387" s="79" t="n">
        <v>8</v>
      </c>
      <c r="O387" s="75" t="s">
        <v>113</v>
      </c>
      <c r="P387" s="77"/>
    </row>
    <row r="388" customFormat="false" ht="15" hidden="false" customHeight="true" outlineLevel="0" collapsed="false">
      <c r="A388" s="70" t="s">
        <v>1254</v>
      </c>
      <c r="B388" s="71" t="n">
        <v>45514</v>
      </c>
      <c r="C388" s="72" t="s">
        <v>1255</v>
      </c>
      <c r="D388" s="70" t="s">
        <v>1256</v>
      </c>
      <c r="E388" s="70" t="s">
        <v>141</v>
      </c>
      <c r="F388" s="73" t="n">
        <v>18500000</v>
      </c>
      <c r="G388" s="72" t="s">
        <v>159</v>
      </c>
      <c r="H388" s="70" t="s">
        <v>101</v>
      </c>
      <c r="I388" s="70" t="s">
        <v>111</v>
      </c>
      <c r="J388" s="72" t="s">
        <v>93</v>
      </c>
      <c r="K388" s="70" t="s">
        <v>125</v>
      </c>
      <c r="L388" s="71" t="n">
        <v>45519</v>
      </c>
      <c r="M388" s="71" t="n">
        <v>45524</v>
      </c>
      <c r="N388" s="74" t="n">
        <v>671</v>
      </c>
      <c r="O388" s="70" t="s">
        <v>113</v>
      </c>
      <c r="P388" s="72"/>
    </row>
    <row r="389" customFormat="false" ht="15" hidden="false" customHeight="true" outlineLevel="0" collapsed="false">
      <c r="A389" s="75" t="s">
        <v>1257</v>
      </c>
      <c r="B389" s="76" t="n">
        <v>45397</v>
      </c>
      <c r="C389" s="77" t="s">
        <v>245</v>
      </c>
      <c r="D389" s="75" t="s">
        <v>1258</v>
      </c>
      <c r="E389" s="75" t="s">
        <v>214</v>
      </c>
      <c r="F389" s="78" t="n">
        <v>13300000</v>
      </c>
      <c r="G389" s="77" t="s">
        <v>100</v>
      </c>
      <c r="H389" s="75" t="s">
        <v>131</v>
      </c>
      <c r="I389" s="75" t="s">
        <v>85</v>
      </c>
      <c r="J389" s="77" t="s">
        <v>142</v>
      </c>
      <c r="K389" s="75" t="s">
        <v>125</v>
      </c>
      <c r="L389" s="76" t="n">
        <v>45401</v>
      </c>
      <c r="M389" s="76" t="n">
        <v>45402</v>
      </c>
      <c r="N389" s="79" t="n">
        <v>793</v>
      </c>
      <c r="O389" s="75" t="s">
        <v>113</v>
      </c>
      <c r="P389" s="77" t="s">
        <v>210</v>
      </c>
    </row>
    <row r="390" customFormat="false" ht="15" hidden="false" customHeight="true" outlineLevel="0" collapsed="false">
      <c r="A390" s="70" t="s">
        <v>1259</v>
      </c>
      <c r="B390" s="71" t="n">
        <v>45517</v>
      </c>
      <c r="C390" s="72" t="s">
        <v>1260</v>
      </c>
      <c r="D390" s="70" t="s">
        <v>1261</v>
      </c>
      <c r="E390" s="70" t="s">
        <v>165</v>
      </c>
      <c r="F390" s="73" t="n">
        <v>13800000</v>
      </c>
      <c r="G390" s="72" t="s">
        <v>186</v>
      </c>
      <c r="H390" s="70" t="s">
        <v>131</v>
      </c>
      <c r="I390" s="70" t="s">
        <v>137</v>
      </c>
      <c r="J390" s="72" t="s">
        <v>178</v>
      </c>
      <c r="K390" s="70" t="s">
        <v>94</v>
      </c>
      <c r="L390" s="71" t="n">
        <v>45519</v>
      </c>
      <c r="M390" s="71" t="n">
        <v>46196</v>
      </c>
      <c r="N390" s="74" t="n">
        <v>-1</v>
      </c>
      <c r="O390" s="70" t="s">
        <v>95</v>
      </c>
      <c r="P390" s="72"/>
    </row>
    <row r="391" customFormat="false" ht="15" hidden="false" customHeight="true" outlineLevel="0" collapsed="false">
      <c r="A391" s="75" t="s">
        <v>1262</v>
      </c>
      <c r="B391" s="76" t="n">
        <v>45520</v>
      </c>
      <c r="C391" s="77" t="s">
        <v>1263</v>
      </c>
      <c r="D391" s="75" t="s">
        <v>1264</v>
      </c>
      <c r="E391" s="75" t="s">
        <v>147</v>
      </c>
      <c r="F391" s="78" t="n">
        <v>13300000</v>
      </c>
      <c r="G391" s="77" t="s">
        <v>109</v>
      </c>
      <c r="H391" s="75" t="s">
        <v>174</v>
      </c>
      <c r="I391" s="75" t="s">
        <v>111</v>
      </c>
      <c r="J391" s="77" t="s">
        <v>124</v>
      </c>
      <c r="K391" s="75" t="s">
        <v>125</v>
      </c>
      <c r="L391" s="76" t="n">
        <v>45522</v>
      </c>
      <c r="M391" s="76" t="n">
        <v>45524</v>
      </c>
      <c r="N391" s="79" t="n">
        <v>671</v>
      </c>
      <c r="O391" s="75" t="s">
        <v>113</v>
      </c>
      <c r="P391" s="77"/>
    </row>
    <row r="392" customFormat="false" ht="15" hidden="false" customHeight="true" outlineLevel="0" collapsed="false">
      <c r="A392" s="70" t="s">
        <v>1265</v>
      </c>
      <c r="B392" s="71" t="n">
        <v>45565</v>
      </c>
      <c r="C392" s="72" t="s">
        <v>1266</v>
      </c>
      <c r="D392" s="70" t="s">
        <v>1267</v>
      </c>
      <c r="E392" s="70" t="s">
        <v>239</v>
      </c>
      <c r="F392" s="73" t="n">
        <v>7400000</v>
      </c>
      <c r="G392" s="72" t="s">
        <v>100</v>
      </c>
      <c r="H392" s="70" t="s">
        <v>91</v>
      </c>
      <c r="I392" s="70" t="s">
        <v>160</v>
      </c>
      <c r="J392" s="72" t="s">
        <v>124</v>
      </c>
      <c r="K392" s="70" t="s">
        <v>125</v>
      </c>
      <c r="L392" s="71" t="n">
        <v>45567</v>
      </c>
      <c r="M392" s="71" t="n">
        <v>45568</v>
      </c>
      <c r="N392" s="74" t="n">
        <v>627</v>
      </c>
      <c r="O392" s="70" t="s">
        <v>113</v>
      </c>
      <c r="P392" s="72"/>
    </row>
    <row r="393" customFormat="false" ht="15" hidden="false" customHeight="true" outlineLevel="0" collapsed="false">
      <c r="A393" s="75" t="s">
        <v>1268</v>
      </c>
      <c r="B393" s="76" t="n">
        <v>45677</v>
      </c>
      <c r="C393" s="77" t="s">
        <v>1269</v>
      </c>
      <c r="D393" s="75" t="s">
        <v>1270</v>
      </c>
      <c r="E393" s="75" t="s">
        <v>108</v>
      </c>
      <c r="F393" s="78" t="n">
        <v>13600000</v>
      </c>
      <c r="G393" s="77" t="s">
        <v>195</v>
      </c>
      <c r="H393" s="75" t="s">
        <v>174</v>
      </c>
      <c r="I393" s="75" t="s">
        <v>137</v>
      </c>
      <c r="J393" s="77" t="s">
        <v>209</v>
      </c>
      <c r="K393" s="75" t="s">
        <v>161</v>
      </c>
      <c r="L393" s="76" t="n">
        <v>45680</v>
      </c>
      <c r="M393" s="76" t="n">
        <v>46202</v>
      </c>
      <c r="N393" s="79" t="n">
        <v>-7</v>
      </c>
      <c r="O393" s="75" t="s">
        <v>95</v>
      </c>
      <c r="P393" s="77"/>
    </row>
    <row r="394" customFormat="false" ht="15" hidden="false" customHeight="true" outlineLevel="0" collapsed="false">
      <c r="A394" s="70" t="s">
        <v>1271</v>
      </c>
      <c r="B394" s="71" t="n">
        <v>45659</v>
      </c>
      <c r="C394" s="72" t="s">
        <v>738</v>
      </c>
      <c r="D394" s="70" t="s">
        <v>1272</v>
      </c>
      <c r="E394" s="70" t="s">
        <v>99</v>
      </c>
      <c r="F394" s="73" t="n">
        <v>5600000</v>
      </c>
      <c r="G394" s="72" t="s">
        <v>109</v>
      </c>
      <c r="H394" s="70" t="s">
        <v>118</v>
      </c>
      <c r="I394" s="70" t="s">
        <v>160</v>
      </c>
      <c r="J394" s="72" t="s">
        <v>191</v>
      </c>
      <c r="K394" s="70" t="s">
        <v>161</v>
      </c>
      <c r="L394" s="71" t="n">
        <v>45660</v>
      </c>
      <c r="M394" s="71" t="n">
        <v>46203</v>
      </c>
      <c r="N394" s="74" t="n">
        <v>-8</v>
      </c>
      <c r="O394" s="70" t="s">
        <v>95</v>
      </c>
      <c r="P394" s="72"/>
    </row>
    <row r="395" customFormat="false" ht="15" hidden="false" customHeight="true" outlineLevel="0" collapsed="false">
      <c r="A395" s="75" t="s">
        <v>1273</v>
      </c>
      <c r="B395" s="76" t="n">
        <v>45434</v>
      </c>
      <c r="C395" s="77" t="s">
        <v>1274</v>
      </c>
      <c r="D395" s="75" t="s">
        <v>1275</v>
      </c>
      <c r="E395" s="75" t="s">
        <v>141</v>
      </c>
      <c r="F395" s="78" t="n">
        <v>9600000</v>
      </c>
      <c r="G395" s="77" t="s">
        <v>166</v>
      </c>
      <c r="H395" s="75" t="s">
        <v>131</v>
      </c>
      <c r="I395" s="75" t="s">
        <v>102</v>
      </c>
      <c r="J395" s="77" t="s">
        <v>124</v>
      </c>
      <c r="K395" s="75" t="s">
        <v>143</v>
      </c>
      <c r="L395" s="76" t="n">
        <v>45437</v>
      </c>
      <c r="M395" s="76" t="n">
        <v>46198</v>
      </c>
      <c r="N395" s="79" t="n">
        <v>-3</v>
      </c>
      <c r="O395" s="75" t="s">
        <v>95</v>
      </c>
      <c r="P395" s="77"/>
    </row>
    <row r="396" customFormat="false" ht="15" hidden="false" customHeight="true" outlineLevel="0" collapsed="false">
      <c r="A396" s="70" t="s">
        <v>1276</v>
      </c>
      <c r="B396" s="71" t="n">
        <v>45638</v>
      </c>
      <c r="C396" s="72" t="s">
        <v>1277</v>
      </c>
      <c r="D396" s="70" t="s">
        <v>1278</v>
      </c>
      <c r="E396" s="70" t="s">
        <v>239</v>
      </c>
      <c r="F396" s="73" t="n">
        <v>13500000</v>
      </c>
      <c r="G396" s="72" t="s">
        <v>100</v>
      </c>
      <c r="H396" s="70" t="s">
        <v>131</v>
      </c>
      <c r="I396" s="70" t="s">
        <v>137</v>
      </c>
      <c r="J396" s="72" t="s">
        <v>209</v>
      </c>
      <c r="K396" s="70" t="s">
        <v>143</v>
      </c>
      <c r="L396" s="71" t="n">
        <v>45642</v>
      </c>
      <c r="M396" s="71" t="n">
        <v>46193</v>
      </c>
      <c r="N396" s="74" t="n">
        <v>2</v>
      </c>
      <c r="O396" s="70" t="s">
        <v>113</v>
      </c>
      <c r="P396" s="72"/>
    </row>
    <row r="397" customFormat="false" ht="15" hidden="false" customHeight="true" outlineLevel="0" collapsed="false">
      <c r="A397" s="75" t="s">
        <v>1279</v>
      </c>
      <c r="B397" s="76" t="n">
        <v>45434</v>
      </c>
      <c r="C397" s="77" t="s">
        <v>1280</v>
      </c>
      <c r="D397" s="75" t="s">
        <v>1281</v>
      </c>
      <c r="E397" s="75" t="s">
        <v>239</v>
      </c>
      <c r="F397" s="78" t="n">
        <v>8900000</v>
      </c>
      <c r="G397" s="77" t="s">
        <v>166</v>
      </c>
      <c r="H397" s="75" t="s">
        <v>91</v>
      </c>
      <c r="I397" s="75" t="s">
        <v>92</v>
      </c>
      <c r="J397" s="77" t="s">
        <v>148</v>
      </c>
      <c r="K397" s="75" t="s">
        <v>94</v>
      </c>
      <c r="L397" s="76" t="n">
        <v>45437</v>
      </c>
      <c r="M397" s="76" t="n">
        <v>46194</v>
      </c>
      <c r="N397" s="79" t="n">
        <v>1</v>
      </c>
      <c r="O397" s="75" t="s">
        <v>113</v>
      </c>
      <c r="P397" s="77"/>
    </row>
    <row r="398" customFormat="false" ht="15" hidden="false" customHeight="true" outlineLevel="0" collapsed="false">
      <c r="A398" s="70" t="s">
        <v>1282</v>
      </c>
      <c r="B398" s="71" t="n">
        <v>45451</v>
      </c>
      <c r="C398" s="72" t="s">
        <v>1283</v>
      </c>
      <c r="D398" s="70" t="s">
        <v>1284</v>
      </c>
      <c r="E398" s="70" t="s">
        <v>129</v>
      </c>
      <c r="F398" s="73" t="n">
        <v>15400000</v>
      </c>
      <c r="G398" s="72" t="s">
        <v>109</v>
      </c>
      <c r="H398" s="70" t="s">
        <v>174</v>
      </c>
      <c r="I398" s="70" t="s">
        <v>102</v>
      </c>
      <c r="J398" s="72" t="s">
        <v>170</v>
      </c>
      <c r="K398" s="70" t="s">
        <v>143</v>
      </c>
      <c r="L398" s="71" t="n">
        <v>45456</v>
      </c>
      <c r="M398" s="71" t="n">
        <v>46204</v>
      </c>
      <c r="N398" s="74" t="n">
        <v>-9</v>
      </c>
      <c r="O398" s="70" t="s">
        <v>95</v>
      </c>
      <c r="P398" s="72"/>
    </row>
    <row r="399" customFormat="false" ht="15" hidden="false" customHeight="true" outlineLevel="0" collapsed="false">
      <c r="A399" s="75" t="s">
        <v>1285</v>
      </c>
      <c r="B399" s="76" t="n">
        <v>45513</v>
      </c>
      <c r="C399" s="77" t="s">
        <v>1286</v>
      </c>
      <c r="D399" s="75" t="s">
        <v>1287</v>
      </c>
      <c r="E399" s="75" t="s">
        <v>239</v>
      </c>
      <c r="F399" s="78" t="n">
        <v>12400000</v>
      </c>
      <c r="G399" s="77" t="s">
        <v>195</v>
      </c>
      <c r="H399" s="75" t="s">
        <v>174</v>
      </c>
      <c r="I399" s="75" t="s">
        <v>85</v>
      </c>
      <c r="J399" s="77" t="s">
        <v>170</v>
      </c>
      <c r="K399" s="75" t="s">
        <v>120</v>
      </c>
      <c r="L399" s="76" t="n">
        <v>45517</v>
      </c>
      <c r="M399" s="76" t="n">
        <v>46189</v>
      </c>
      <c r="N399" s="79" t="n">
        <v>6</v>
      </c>
      <c r="O399" s="75" t="s">
        <v>113</v>
      </c>
      <c r="P399" s="77" t="s">
        <v>301</v>
      </c>
    </row>
    <row r="400" customFormat="false" ht="15" hidden="false" customHeight="true" outlineLevel="0" collapsed="false">
      <c r="A400" s="70" t="s">
        <v>1288</v>
      </c>
      <c r="B400" s="71" t="n">
        <v>45693</v>
      </c>
      <c r="C400" s="72" t="s">
        <v>1289</v>
      </c>
      <c r="D400" s="70" t="s">
        <v>1290</v>
      </c>
      <c r="E400" s="70" t="s">
        <v>165</v>
      </c>
      <c r="F400" s="73" t="n">
        <v>9700000</v>
      </c>
      <c r="G400" s="72" t="s">
        <v>90</v>
      </c>
      <c r="H400" s="70" t="s">
        <v>131</v>
      </c>
      <c r="I400" s="70" t="s">
        <v>119</v>
      </c>
      <c r="J400" s="72" t="s">
        <v>93</v>
      </c>
      <c r="K400" s="70" t="s">
        <v>143</v>
      </c>
      <c r="L400" s="71" t="n">
        <v>45695</v>
      </c>
      <c r="M400" s="71" t="n">
        <v>46205</v>
      </c>
      <c r="N400" s="74" t="n">
        <v>-10</v>
      </c>
      <c r="O400" s="70" t="s">
        <v>95</v>
      </c>
      <c r="P400" s="72"/>
    </row>
    <row r="401" customFormat="false" ht="15" hidden="false" customHeight="true" outlineLevel="0" collapsed="false">
      <c r="A401" s="75" t="s">
        <v>1291</v>
      </c>
      <c r="B401" s="76" t="n">
        <v>45578</v>
      </c>
      <c r="C401" s="77" t="s">
        <v>1292</v>
      </c>
      <c r="D401" s="75" t="s">
        <v>1293</v>
      </c>
      <c r="E401" s="75" t="s">
        <v>239</v>
      </c>
      <c r="F401" s="78" t="n">
        <v>13800000</v>
      </c>
      <c r="G401" s="77" t="s">
        <v>130</v>
      </c>
      <c r="H401" s="75" t="s">
        <v>131</v>
      </c>
      <c r="I401" s="75" t="s">
        <v>119</v>
      </c>
      <c r="J401" s="77" t="s">
        <v>142</v>
      </c>
      <c r="K401" s="75" t="s">
        <v>125</v>
      </c>
      <c r="L401" s="76" t="n">
        <v>45583</v>
      </c>
      <c r="M401" s="76" t="n">
        <v>45586</v>
      </c>
      <c r="N401" s="79" t="n">
        <v>609</v>
      </c>
      <c r="O401" s="75" t="s">
        <v>113</v>
      </c>
      <c r="P401" s="77"/>
    </row>
    <row r="402" customFormat="false" ht="15" hidden="false" customHeight="true" outlineLevel="0" collapsed="false">
      <c r="A402" s="70" t="s">
        <v>1294</v>
      </c>
      <c r="B402" s="71" t="n">
        <v>45419</v>
      </c>
      <c r="C402" s="72" t="s">
        <v>1295</v>
      </c>
      <c r="D402" s="70" t="s">
        <v>1296</v>
      </c>
      <c r="E402" s="70" t="s">
        <v>155</v>
      </c>
      <c r="F402" s="73" t="n">
        <v>14600000</v>
      </c>
      <c r="G402" s="72" t="s">
        <v>130</v>
      </c>
      <c r="H402" s="70" t="s">
        <v>174</v>
      </c>
      <c r="I402" s="70" t="s">
        <v>137</v>
      </c>
      <c r="J402" s="72" t="s">
        <v>148</v>
      </c>
      <c r="K402" s="70" t="s">
        <v>143</v>
      </c>
      <c r="L402" s="71" t="n">
        <v>45420</v>
      </c>
      <c r="M402" s="71" t="n">
        <v>46192</v>
      </c>
      <c r="N402" s="74" t="n">
        <v>3</v>
      </c>
      <c r="O402" s="70" t="s">
        <v>113</v>
      </c>
      <c r="P402" s="72"/>
    </row>
    <row r="403" customFormat="false" ht="15" hidden="false" customHeight="true" outlineLevel="0" collapsed="false">
      <c r="A403" s="75" t="s">
        <v>1297</v>
      </c>
      <c r="B403" s="76" t="n">
        <v>45610</v>
      </c>
      <c r="C403" s="77" t="s">
        <v>1298</v>
      </c>
      <c r="D403" s="75" t="s">
        <v>1299</v>
      </c>
      <c r="E403" s="75" t="s">
        <v>155</v>
      </c>
      <c r="F403" s="78" t="n">
        <v>26500000</v>
      </c>
      <c r="G403" s="77" t="s">
        <v>90</v>
      </c>
      <c r="H403" s="75" t="s">
        <v>110</v>
      </c>
      <c r="I403" s="75" t="s">
        <v>137</v>
      </c>
      <c r="J403" s="77" t="s">
        <v>191</v>
      </c>
      <c r="K403" s="75" t="s">
        <v>104</v>
      </c>
      <c r="L403" s="76" t="n">
        <v>45613</v>
      </c>
      <c r="M403" s="76" t="n">
        <v>46210</v>
      </c>
      <c r="N403" s="79" t="n">
        <v>-15</v>
      </c>
      <c r="O403" s="75" t="s">
        <v>95</v>
      </c>
      <c r="P403" s="77"/>
    </row>
    <row r="404" customFormat="false" ht="15" hidden="false" customHeight="true" outlineLevel="0" collapsed="false">
      <c r="A404" s="70" t="s">
        <v>1300</v>
      </c>
      <c r="B404" s="71" t="n">
        <v>45423</v>
      </c>
      <c r="C404" s="72" t="s">
        <v>1301</v>
      </c>
      <c r="D404" s="70" t="s">
        <v>1302</v>
      </c>
      <c r="E404" s="70" t="s">
        <v>129</v>
      </c>
      <c r="F404" s="73" t="n">
        <v>4800000</v>
      </c>
      <c r="G404" s="72" t="s">
        <v>109</v>
      </c>
      <c r="H404" s="70" t="s">
        <v>118</v>
      </c>
      <c r="I404" s="70" t="s">
        <v>85</v>
      </c>
      <c r="J404" s="72" t="s">
        <v>124</v>
      </c>
      <c r="K404" s="70" t="s">
        <v>94</v>
      </c>
      <c r="L404" s="71" t="n">
        <v>45425</v>
      </c>
      <c r="M404" s="71" t="n">
        <v>46192</v>
      </c>
      <c r="N404" s="74" t="n">
        <v>3</v>
      </c>
      <c r="O404" s="70" t="s">
        <v>113</v>
      </c>
      <c r="P404" s="72" t="s">
        <v>187</v>
      </c>
    </row>
    <row r="405" customFormat="false" ht="15" hidden="false" customHeight="true" outlineLevel="0" collapsed="false">
      <c r="A405" s="75" t="s">
        <v>1303</v>
      </c>
      <c r="B405" s="76" t="n">
        <v>45425</v>
      </c>
      <c r="C405" s="77" t="s">
        <v>1304</v>
      </c>
      <c r="D405" s="75" t="s">
        <v>1305</v>
      </c>
      <c r="E405" s="75" t="s">
        <v>147</v>
      </c>
      <c r="F405" s="78" t="n">
        <v>6100000</v>
      </c>
      <c r="G405" s="77" t="s">
        <v>195</v>
      </c>
      <c r="H405" s="75" t="s">
        <v>118</v>
      </c>
      <c r="I405" s="75" t="s">
        <v>119</v>
      </c>
      <c r="J405" s="77" t="s">
        <v>103</v>
      </c>
      <c r="K405" s="75" t="s">
        <v>125</v>
      </c>
      <c r="L405" s="76" t="n">
        <v>45426</v>
      </c>
      <c r="M405" s="76" t="n">
        <v>45429</v>
      </c>
      <c r="N405" s="79" t="n">
        <v>766</v>
      </c>
      <c r="O405" s="75" t="s">
        <v>113</v>
      </c>
      <c r="P405" s="77"/>
    </row>
    <row r="406" customFormat="false" ht="15" hidden="false" customHeight="true" outlineLevel="0" collapsed="false">
      <c r="A406" s="70" t="s">
        <v>1306</v>
      </c>
      <c r="B406" s="71" t="n">
        <v>45470</v>
      </c>
      <c r="C406" s="72" t="s">
        <v>1307</v>
      </c>
      <c r="D406" s="70" t="s">
        <v>1308</v>
      </c>
      <c r="E406" s="70" t="s">
        <v>239</v>
      </c>
      <c r="F406" s="73" t="n">
        <v>7700000</v>
      </c>
      <c r="G406" s="72" t="s">
        <v>100</v>
      </c>
      <c r="H406" s="70" t="s">
        <v>91</v>
      </c>
      <c r="I406" s="70" t="s">
        <v>119</v>
      </c>
      <c r="J406" s="72" t="s">
        <v>170</v>
      </c>
      <c r="K406" s="70" t="s">
        <v>120</v>
      </c>
      <c r="L406" s="71" t="n">
        <v>45471</v>
      </c>
      <c r="M406" s="71" t="n">
        <v>46185</v>
      </c>
      <c r="N406" s="74" t="n">
        <v>10</v>
      </c>
      <c r="O406" s="70" t="s">
        <v>113</v>
      </c>
      <c r="P406" s="72"/>
    </row>
    <row r="407" customFormat="false" ht="15" hidden="false" customHeight="true" outlineLevel="0" collapsed="false">
      <c r="A407" s="75" t="s">
        <v>1309</v>
      </c>
      <c r="B407" s="76" t="n">
        <v>45688</v>
      </c>
      <c r="C407" s="77" t="s">
        <v>1310</v>
      </c>
      <c r="D407" s="75" t="s">
        <v>1311</v>
      </c>
      <c r="E407" s="75" t="s">
        <v>214</v>
      </c>
      <c r="F407" s="78" t="n">
        <v>19700000</v>
      </c>
      <c r="G407" s="77" t="s">
        <v>90</v>
      </c>
      <c r="H407" s="75" t="s">
        <v>101</v>
      </c>
      <c r="I407" s="75" t="s">
        <v>92</v>
      </c>
      <c r="J407" s="77" t="s">
        <v>103</v>
      </c>
      <c r="K407" s="75" t="s">
        <v>104</v>
      </c>
      <c r="L407" s="76" t="n">
        <v>45692</v>
      </c>
      <c r="M407" s="76" t="n">
        <v>46207</v>
      </c>
      <c r="N407" s="79" t="n">
        <v>-12</v>
      </c>
      <c r="O407" s="75" t="s">
        <v>95</v>
      </c>
      <c r="P407" s="77"/>
    </row>
    <row r="408" customFormat="false" ht="15" hidden="false" customHeight="true" outlineLevel="0" collapsed="false">
      <c r="A408" s="70" t="s">
        <v>1312</v>
      </c>
      <c r="B408" s="71" t="n">
        <v>45609</v>
      </c>
      <c r="C408" s="72" t="s">
        <v>1313</v>
      </c>
      <c r="D408" s="70" t="s">
        <v>1314</v>
      </c>
      <c r="E408" s="70" t="s">
        <v>147</v>
      </c>
      <c r="F408" s="73" t="n">
        <v>13500000</v>
      </c>
      <c r="G408" s="72" t="s">
        <v>90</v>
      </c>
      <c r="H408" s="70" t="s">
        <v>131</v>
      </c>
      <c r="I408" s="70" t="s">
        <v>137</v>
      </c>
      <c r="J408" s="72" t="s">
        <v>124</v>
      </c>
      <c r="K408" s="70" t="s">
        <v>125</v>
      </c>
      <c r="L408" s="71" t="n">
        <v>45612</v>
      </c>
      <c r="M408" s="71" t="n">
        <v>45615</v>
      </c>
      <c r="N408" s="74" t="n">
        <v>580</v>
      </c>
      <c r="O408" s="70" t="s">
        <v>113</v>
      </c>
      <c r="P408" s="72"/>
    </row>
    <row r="409" customFormat="false" ht="15" hidden="false" customHeight="true" outlineLevel="0" collapsed="false">
      <c r="A409" s="75" t="s">
        <v>1315</v>
      </c>
      <c r="B409" s="76" t="n">
        <v>45387</v>
      </c>
      <c r="C409" s="77" t="s">
        <v>1316</v>
      </c>
      <c r="D409" s="75" t="s">
        <v>1317</v>
      </c>
      <c r="E409" s="75" t="s">
        <v>108</v>
      </c>
      <c r="F409" s="78" t="n">
        <v>17100000</v>
      </c>
      <c r="G409" s="77" t="s">
        <v>195</v>
      </c>
      <c r="H409" s="75" t="s">
        <v>101</v>
      </c>
      <c r="I409" s="75" t="s">
        <v>111</v>
      </c>
      <c r="J409" s="77" t="s">
        <v>112</v>
      </c>
      <c r="K409" s="75" t="s">
        <v>143</v>
      </c>
      <c r="L409" s="76" t="n">
        <v>45391</v>
      </c>
      <c r="M409" s="76" t="n">
        <v>46202</v>
      </c>
      <c r="N409" s="79" t="n">
        <v>-7</v>
      </c>
      <c r="O409" s="75" t="s">
        <v>95</v>
      </c>
      <c r="P409" s="77"/>
    </row>
    <row r="410" customFormat="false" ht="15" hidden="false" customHeight="true" outlineLevel="0" collapsed="false">
      <c r="A410" s="70" t="s">
        <v>1318</v>
      </c>
      <c r="B410" s="71" t="n">
        <v>45670</v>
      </c>
      <c r="C410" s="72" t="s">
        <v>1319</v>
      </c>
      <c r="D410" s="70" t="s">
        <v>1320</v>
      </c>
      <c r="E410" s="70" t="s">
        <v>117</v>
      </c>
      <c r="F410" s="73" t="n">
        <v>5600000</v>
      </c>
      <c r="G410" s="72" t="s">
        <v>100</v>
      </c>
      <c r="H410" s="70" t="s">
        <v>118</v>
      </c>
      <c r="I410" s="70" t="s">
        <v>111</v>
      </c>
      <c r="J410" s="72" t="s">
        <v>124</v>
      </c>
      <c r="K410" s="70" t="s">
        <v>143</v>
      </c>
      <c r="L410" s="71" t="n">
        <v>45674</v>
      </c>
      <c r="M410" s="71" t="n">
        <v>46199</v>
      </c>
      <c r="N410" s="74" t="n">
        <v>-4</v>
      </c>
      <c r="O410" s="70" t="s">
        <v>95</v>
      </c>
      <c r="P410" s="72"/>
    </row>
    <row r="411" customFormat="false" ht="15" hidden="false" customHeight="true" outlineLevel="0" collapsed="false">
      <c r="A411" s="75" t="s">
        <v>1321</v>
      </c>
      <c r="B411" s="76" t="n">
        <v>45696</v>
      </c>
      <c r="C411" s="77" t="s">
        <v>1322</v>
      </c>
      <c r="D411" s="75" t="s">
        <v>1323</v>
      </c>
      <c r="E411" s="75" t="s">
        <v>99</v>
      </c>
      <c r="F411" s="78" t="n">
        <v>5400000</v>
      </c>
      <c r="G411" s="77" t="s">
        <v>90</v>
      </c>
      <c r="H411" s="75" t="s">
        <v>118</v>
      </c>
      <c r="I411" s="75" t="s">
        <v>85</v>
      </c>
      <c r="J411" s="77" t="s">
        <v>124</v>
      </c>
      <c r="K411" s="75" t="s">
        <v>161</v>
      </c>
      <c r="L411" s="76" t="n">
        <v>45699</v>
      </c>
      <c r="M411" s="76" t="n">
        <v>46196</v>
      </c>
      <c r="N411" s="79" t="n">
        <v>-1</v>
      </c>
      <c r="O411" s="75" t="s">
        <v>95</v>
      </c>
      <c r="P411" s="77" t="s">
        <v>210</v>
      </c>
    </row>
    <row r="412" customFormat="false" ht="15" hidden="false" customHeight="true" outlineLevel="0" collapsed="false">
      <c r="A412" s="70" t="s">
        <v>1324</v>
      </c>
      <c r="B412" s="71" t="n">
        <v>45701</v>
      </c>
      <c r="C412" s="72" t="s">
        <v>486</v>
      </c>
      <c r="D412" s="70" t="s">
        <v>1325</v>
      </c>
      <c r="E412" s="70" t="s">
        <v>129</v>
      </c>
      <c r="F412" s="73" t="n">
        <v>5800000</v>
      </c>
      <c r="G412" s="72" t="s">
        <v>90</v>
      </c>
      <c r="H412" s="70" t="s">
        <v>118</v>
      </c>
      <c r="I412" s="70" t="s">
        <v>119</v>
      </c>
      <c r="J412" s="72" t="s">
        <v>148</v>
      </c>
      <c r="K412" s="70" t="s">
        <v>143</v>
      </c>
      <c r="L412" s="71" t="n">
        <v>45705</v>
      </c>
      <c r="M412" s="71" t="n">
        <v>46193</v>
      </c>
      <c r="N412" s="74" t="n">
        <v>2</v>
      </c>
      <c r="O412" s="70" t="s">
        <v>113</v>
      </c>
      <c r="P412" s="72"/>
    </row>
    <row r="413" customFormat="false" ht="15" hidden="false" customHeight="true" outlineLevel="0" collapsed="false">
      <c r="A413" s="75" t="s">
        <v>1326</v>
      </c>
      <c r="B413" s="76" t="n">
        <v>45607</v>
      </c>
      <c r="C413" s="77" t="s">
        <v>1327</v>
      </c>
      <c r="D413" s="75" t="s">
        <v>1328</v>
      </c>
      <c r="E413" s="75" t="s">
        <v>147</v>
      </c>
      <c r="F413" s="78" t="n">
        <v>6900000</v>
      </c>
      <c r="G413" s="77" t="s">
        <v>195</v>
      </c>
      <c r="H413" s="75" t="s">
        <v>91</v>
      </c>
      <c r="I413" s="75" t="s">
        <v>111</v>
      </c>
      <c r="J413" s="77" t="s">
        <v>112</v>
      </c>
      <c r="K413" s="75" t="s">
        <v>120</v>
      </c>
      <c r="L413" s="76" t="n">
        <v>45608</v>
      </c>
      <c r="M413" s="76" t="n">
        <v>46197</v>
      </c>
      <c r="N413" s="79" t="n">
        <v>-2</v>
      </c>
      <c r="O413" s="75" t="s">
        <v>95</v>
      </c>
      <c r="P413" s="77"/>
    </row>
    <row r="414" customFormat="false" ht="15" hidden="false" customHeight="true" outlineLevel="0" collapsed="false">
      <c r="A414" s="70" t="s">
        <v>1329</v>
      </c>
      <c r="B414" s="71" t="n">
        <v>45620</v>
      </c>
      <c r="C414" s="72" t="s">
        <v>1330</v>
      </c>
      <c r="D414" s="70" t="s">
        <v>1331</v>
      </c>
      <c r="E414" s="70" t="s">
        <v>99</v>
      </c>
      <c r="F414" s="73" t="n">
        <v>13300000</v>
      </c>
      <c r="G414" s="72" t="s">
        <v>130</v>
      </c>
      <c r="H414" s="70" t="s">
        <v>174</v>
      </c>
      <c r="I414" s="70" t="s">
        <v>160</v>
      </c>
      <c r="J414" s="72" t="s">
        <v>142</v>
      </c>
      <c r="K414" s="70" t="s">
        <v>205</v>
      </c>
      <c r="L414" s="71" t="n">
        <v>45621</v>
      </c>
      <c r="M414" s="71" t="n">
        <v>45624</v>
      </c>
      <c r="N414" s="74" t="n">
        <v>571</v>
      </c>
      <c r="O414" s="70" t="s">
        <v>113</v>
      </c>
      <c r="P414" s="72"/>
    </row>
    <row r="415" customFormat="false" ht="15" hidden="false" customHeight="true" outlineLevel="0" collapsed="false">
      <c r="A415" s="75" t="s">
        <v>1332</v>
      </c>
      <c r="B415" s="76" t="n">
        <v>45511</v>
      </c>
      <c r="C415" s="77" t="s">
        <v>833</v>
      </c>
      <c r="D415" s="75" t="s">
        <v>1333</v>
      </c>
      <c r="E415" s="75" t="s">
        <v>136</v>
      </c>
      <c r="F415" s="78" t="n">
        <v>19900000</v>
      </c>
      <c r="G415" s="77" t="s">
        <v>159</v>
      </c>
      <c r="H415" s="75" t="s">
        <v>101</v>
      </c>
      <c r="I415" s="75" t="s">
        <v>92</v>
      </c>
      <c r="J415" s="77" t="s">
        <v>124</v>
      </c>
      <c r="K415" s="75" t="s">
        <v>125</v>
      </c>
      <c r="L415" s="76" t="n">
        <v>45515</v>
      </c>
      <c r="M415" s="76" t="n">
        <v>45516</v>
      </c>
      <c r="N415" s="79" t="n">
        <v>679</v>
      </c>
      <c r="O415" s="75" t="s">
        <v>113</v>
      </c>
      <c r="P415" s="77"/>
    </row>
    <row r="416" customFormat="false" ht="15" hidden="false" customHeight="true" outlineLevel="0" collapsed="false">
      <c r="A416" s="70" t="s">
        <v>1334</v>
      </c>
      <c r="B416" s="71" t="n">
        <v>45489</v>
      </c>
      <c r="C416" s="72" t="s">
        <v>1335</v>
      </c>
      <c r="D416" s="70" t="s">
        <v>1336</v>
      </c>
      <c r="E416" s="70" t="s">
        <v>99</v>
      </c>
      <c r="F416" s="73" t="n">
        <v>8400000</v>
      </c>
      <c r="G416" s="72" t="s">
        <v>195</v>
      </c>
      <c r="H416" s="70" t="s">
        <v>91</v>
      </c>
      <c r="I416" s="70" t="s">
        <v>85</v>
      </c>
      <c r="J416" s="72" t="s">
        <v>93</v>
      </c>
      <c r="K416" s="70" t="s">
        <v>161</v>
      </c>
      <c r="L416" s="71" t="n">
        <v>45493</v>
      </c>
      <c r="M416" s="71" t="n">
        <v>46199</v>
      </c>
      <c r="N416" s="74" t="n">
        <v>-4</v>
      </c>
      <c r="O416" s="70" t="s">
        <v>95</v>
      </c>
      <c r="P416" s="72" t="s">
        <v>210</v>
      </c>
    </row>
    <row r="417" customFormat="false" ht="15" hidden="false" customHeight="true" outlineLevel="0" collapsed="false">
      <c r="A417" s="75" t="s">
        <v>1337</v>
      </c>
      <c r="B417" s="76" t="n">
        <v>45409</v>
      </c>
      <c r="C417" s="77" t="s">
        <v>889</v>
      </c>
      <c r="D417" s="75" t="s">
        <v>1338</v>
      </c>
      <c r="E417" s="75" t="s">
        <v>147</v>
      </c>
      <c r="F417" s="78" t="n">
        <v>13500000</v>
      </c>
      <c r="G417" s="77" t="s">
        <v>159</v>
      </c>
      <c r="H417" s="75" t="s">
        <v>131</v>
      </c>
      <c r="I417" s="75" t="s">
        <v>85</v>
      </c>
      <c r="J417" s="77" t="s">
        <v>112</v>
      </c>
      <c r="K417" s="75" t="s">
        <v>104</v>
      </c>
      <c r="L417" s="76" t="n">
        <v>45411</v>
      </c>
      <c r="M417" s="76" t="n">
        <v>46190</v>
      </c>
      <c r="N417" s="79" t="n">
        <v>5</v>
      </c>
      <c r="O417" s="75" t="s">
        <v>113</v>
      </c>
      <c r="P417" s="77" t="s">
        <v>179</v>
      </c>
    </row>
    <row r="418" customFormat="false" ht="15" hidden="false" customHeight="true" outlineLevel="0" collapsed="false">
      <c r="A418" s="70" t="s">
        <v>1339</v>
      </c>
      <c r="B418" s="71" t="n">
        <v>45404</v>
      </c>
      <c r="C418" s="72" t="s">
        <v>1340</v>
      </c>
      <c r="D418" s="70" t="s">
        <v>1341</v>
      </c>
      <c r="E418" s="70" t="s">
        <v>129</v>
      </c>
      <c r="F418" s="73" t="n">
        <v>17000000</v>
      </c>
      <c r="G418" s="72" t="s">
        <v>90</v>
      </c>
      <c r="H418" s="70" t="s">
        <v>101</v>
      </c>
      <c r="I418" s="70" t="s">
        <v>119</v>
      </c>
      <c r="J418" s="72" t="s">
        <v>124</v>
      </c>
      <c r="K418" s="70" t="s">
        <v>120</v>
      </c>
      <c r="L418" s="71" t="n">
        <v>45409</v>
      </c>
      <c r="M418" s="71" t="n">
        <v>46213</v>
      </c>
      <c r="N418" s="74" t="n">
        <v>-18</v>
      </c>
      <c r="O418" s="70" t="s">
        <v>95</v>
      </c>
      <c r="P418" s="72"/>
    </row>
    <row r="419" customFormat="false" ht="15" hidden="false" customHeight="true" outlineLevel="0" collapsed="false">
      <c r="A419" s="75" t="s">
        <v>1342</v>
      </c>
      <c r="B419" s="76" t="n">
        <v>45703</v>
      </c>
      <c r="C419" s="77" t="s">
        <v>1343</v>
      </c>
      <c r="D419" s="75" t="s">
        <v>1344</v>
      </c>
      <c r="E419" s="75" t="s">
        <v>141</v>
      </c>
      <c r="F419" s="78" t="n">
        <v>8600000</v>
      </c>
      <c r="G419" s="77" t="s">
        <v>100</v>
      </c>
      <c r="H419" s="75" t="s">
        <v>91</v>
      </c>
      <c r="I419" s="75" t="s">
        <v>102</v>
      </c>
      <c r="J419" s="77" t="s">
        <v>148</v>
      </c>
      <c r="K419" s="75" t="s">
        <v>104</v>
      </c>
      <c r="L419" s="76" t="n">
        <v>45704</v>
      </c>
      <c r="M419" s="76" t="n">
        <v>46188</v>
      </c>
      <c r="N419" s="79" t="n">
        <v>7</v>
      </c>
      <c r="O419" s="75" t="s">
        <v>113</v>
      </c>
      <c r="P419" s="77"/>
    </row>
    <row r="420" customFormat="false" ht="15" hidden="false" customHeight="true" outlineLevel="0" collapsed="false">
      <c r="A420" s="70" t="s">
        <v>1345</v>
      </c>
      <c r="B420" s="71" t="n">
        <v>45560</v>
      </c>
      <c r="C420" s="72" t="s">
        <v>1346</v>
      </c>
      <c r="D420" s="70" t="s">
        <v>1347</v>
      </c>
      <c r="E420" s="70" t="s">
        <v>141</v>
      </c>
      <c r="F420" s="73" t="n">
        <v>13000000</v>
      </c>
      <c r="G420" s="72" t="s">
        <v>109</v>
      </c>
      <c r="H420" s="70" t="s">
        <v>174</v>
      </c>
      <c r="I420" s="70" t="s">
        <v>111</v>
      </c>
      <c r="J420" s="72" t="s">
        <v>103</v>
      </c>
      <c r="K420" s="70" t="s">
        <v>125</v>
      </c>
      <c r="L420" s="71" t="n">
        <v>45564</v>
      </c>
      <c r="M420" s="71" t="n">
        <v>45566</v>
      </c>
      <c r="N420" s="74" t="n">
        <v>629</v>
      </c>
      <c r="O420" s="70" t="s">
        <v>113</v>
      </c>
      <c r="P420" s="72"/>
    </row>
    <row r="421" customFormat="false" ht="15" hidden="false" customHeight="true" outlineLevel="0" collapsed="false">
      <c r="A421" s="75" t="s">
        <v>1348</v>
      </c>
      <c r="B421" s="76" t="n">
        <v>45633</v>
      </c>
      <c r="C421" s="77" t="s">
        <v>1349</v>
      </c>
      <c r="D421" s="75" t="s">
        <v>1350</v>
      </c>
      <c r="E421" s="75" t="s">
        <v>239</v>
      </c>
      <c r="F421" s="78" t="n">
        <v>15000000</v>
      </c>
      <c r="G421" s="77" t="s">
        <v>195</v>
      </c>
      <c r="H421" s="75" t="s">
        <v>174</v>
      </c>
      <c r="I421" s="75" t="s">
        <v>119</v>
      </c>
      <c r="J421" s="77" t="s">
        <v>103</v>
      </c>
      <c r="K421" s="75" t="s">
        <v>104</v>
      </c>
      <c r="L421" s="76" t="n">
        <v>45635</v>
      </c>
      <c r="M421" s="76" t="n">
        <v>46205</v>
      </c>
      <c r="N421" s="79" t="n">
        <v>-10</v>
      </c>
      <c r="O421" s="75" t="s">
        <v>95</v>
      </c>
      <c r="P421" s="77"/>
    </row>
    <row r="422" customFormat="false" ht="15" hidden="false" customHeight="true" outlineLevel="0" collapsed="false">
      <c r="A422" s="70" t="s">
        <v>1351</v>
      </c>
      <c r="B422" s="71" t="n">
        <v>45534</v>
      </c>
      <c r="C422" s="72" t="s">
        <v>1352</v>
      </c>
      <c r="D422" s="70" t="s">
        <v>1353</v>
      </c>
      <c r="E422" s="70" t="s">
        <v>89</v>
      </c>
      <c r="F422" s="73" t="n">
        <v>10800000</v>
      </c>
      <c r="G422" s="72" t="s">
        <v>166</v>
      </c>
      <c r="H422" s="70" t="s">
        <v>131</v>
      </c>
      <c r="I422" s="70" t="s">
        <v>102</v>
      </c>
      <c r="J422" s="72" t="s">
        <v>103</v>
      </c>
      <c r="K422" s="70" t="s">
        <v>104</v>
      </c>
      <c r="L422" s="71" t="n">
        <v>45537</v>
      </c>
      <c r="M422" s="71" t="n">
        <v>46204</v>
      </c>
      <c r="N422" s="74" t="n">
        <v>-9</v>
      </c>
      <c r="O422" s="70" t="s">
        <v>95</v>
      </c>
      <c r="P422" s="72"/>
    </row>
    <row r="423" customFormat="false" ht="15" hidden="false" customHeight="true" outlineLevel="0" collapsed="false">
      <c r="A423" s="75" t="s">
        <v>1354</v>
      </c>
      <c r="B423" s="76" t="n">
        <v>45505</v>
      </c>
      <c r="C423" s="77" t="s">
        <v>1355</v>
      </c>
      <c r="D423" s="75" t="s">
        <v>1356</v>
      </c>
      <c r="E423" s="75" t="s">
        <v>136</v>
      </c>
      <c r="F423" s="78" t="n">
        <v>5800000</v>
      </c>
      <c r="G423" s="77" t="s">
        <v>109</v>
      </c>
      <c r="H423" s="75" t="s">
        <v>118</v>
      </c>
      <c r="I423" s="75" t="s">
        <v>160</v>
      </c>
      <c r="J423" s="77" t="s">
        <v>209</v>
      </c>
      <c r="K423" s="75" t="s">
        <v>125</v>
      </c>
      <c r="L423" s="76" t="n">
        <v>45508</v>
      </c>
      <c r="M423" s="76" t="n">
        <v>45509</v>
      </c>
      <c r="N423" s="79" t="n">
        <v>686</v>
      </c>
      <c r="O423" s="75" t="s">
        <v>113</v>
      </c>
      <c r="P423" s="77"/>
    </row>
    <row r="424" customFormat="false" ht="15" hidden="false" customHeight="true" outlineLevel="0" collapsed="false">
      <c r="A424" s="70" t="s">
        <v>1357</v>
      </c>
      <c r="B424" s="71" t="n">
        <v>45711</v>
      </c>
      <c r="C424" s="72" t="s">
        <v>1283</v>
      </c>
      <c r="D424" s="70" t="s">
        <v>1358</v>
      </c>
      <c r="E424" s="70" t="s">
        <v>147</v>
      </c>
      <c r="F424" s="73" t="n">
        <v>17300000</v>
      </c>
      <c r="G424" s="72" t="s">
        <v>166</v>
      </c>
      <c r="H424" s="70" t="s">
        <v>101</v>
      </c>
      <c r="I424" s="70" t="s">
        <v>137</v>
      </c>
      <c r="J424" s="72" t="s">
        <v>112</v>
      </c>
      <c r="K424" s="70" t="s">
        <v>104</v>
      </c>
      <c r="L424" s="71" t="n">
        <v>45714</v>
      </c>
      <c r="M424" s="71" t="n">
        <v>46190</v>
      </c>
      <c r="N424" s="74" t="n">
        <v>5</v>
      </c>
      <c r="O424" s="70" t="s">
        <v>113</v>
      </c>
      <c r="P424" s="72"/>
    </row>
    <row r="425" customFormat="false" ht="15" hidden="false" customHeight="true" outlineLevel="0" collapsed="false">
      <c r="A425" s="75" t="s">
        <v>1359</v>
      </c>
      <c r="B425" s="76" t="n">
        <v>45399</v>
      </c>
      <c r="C425" s="77" t="s">
        <v>1360</v>
      </c>
      <c r="D425" s="75" t="s">
        <v>1361</v>
      </c>
      <c r="E425" s="75" t="s">
        <v>129</v>
      </c>
      <c r="F425" s="78" t="n">
        <v>4900000</v>
      </c>
      <c r="G425" s="77" t="s">
        <v>109</v>
      </c>
      <c r="H425" s="75" t="s">
        <v>118</v>
      </c>
      <c r="I425" s="75" t="s">
        <v>102</v>
      </c>
      <c r="J425" s="77" t="s">
        <v>142</v>
      </c>
      <c r="K425" s="75" t="s">
        <v>104</v>
      </c>
      <c r="L425" s="76" t="n">
        <v>45404</v>
      </c>
      <c r="M425" s="76" t="n">
        <v>46207</v>
      </c>
      <c r="N425" s="79" t="n">
        <v>-12</v>
      </c>
      <c r="O425" s="75" t="s">
        <v>95</v>
      </c>
      <c r="P425" s="77"/>
    </row>
    <row r="426" customFormat="false" ht="15" hidden="false" customHeight="true" outlineLevel="0" collapsed="false">
      <c r="A426" s="70" t="s">
        <v>1362</v>
      </c>
      <c r="B426" s="71" t="n">
        <v>45389</v>
      </c>
      <c r="C426" s="72" t="s">
        <v>804</v>
      </c>
      <c r="D426" s="70" t="s">
        <v>1363</v>
      </c>
      <c r="E426" s="70" t="s">
        <v>117</v>
      </c>
      <c r="F426" s="73" t="n">
        <v>5300000</v>
      </c>
      <c r="G426" s="72" t="s">
        <v>90</v>
      </c>
      <c r="H426" s="70" t="s">
        <v>118</v>
      </c>
      <c r="I426" s="70" t="s">
        <v>92</v>
      </c>
      <c r="J426" s="72" t="s">
        <v>148</v>
      </c>
      <c r="K426" s="70" t="s">
        <v>94</v>
      </c>
      <c r="L426" s="71" t="n">
        <v>45391</v>
      </c>
      <c r="M426" s="71" t="n">
        <v>46207</v>
      </c>
      <c r="N426" s="74" t="n">
        <v>-12</v>
      </c>
      <c r="O426" s="70" t="s">
        <v>95</v>
      </c>
      <c r="P426" s="72"/>
    </row>
    <row r="427" customFormat="false" ht="15" hidden="false" customHeight="true" outlineLevel="0" collapsed="false">
      <c r="A427" s="75" t="s">
        <v>1364</v>
      </c>
      <c r="B427" s="76" t="n">
        <v>45403</v>
      </c>
      <c r="C427" s="77" t="s">
        <v>1365</v>
      </c>
      <c r="D427" s="75" t="s">
        <v>1366</v>
      </c>
      <c r="E427" s="75" t="s">
        <v>165</v>
      </c>
      <c r="F427" s="78" t="n">
        <v>10000000</v>
      </c>
      <c r="G427" s="77" t="s">
        <v>186</v>
      </c>
      <c r="H427" s="75" t="s">
        <v>131</v>
      </c>
      <c r="I427" s="75" t="s">
        <v>160</v>
      </c>
      <c r="J427" s="77" t="s">
        <v>148</v>
      </c>
      <c r="K427" s="75" t="s">
        <v>104</v>
      </c>
      <c r="L427" s="76" t="n">
        <v>45404</v>
      </c>
      <c r="M427" s="76" t="n">
        <v>46196</v>
      </c>
      <c r="N427" s="79" t="n">
        <v>-1</v>
      </c>
      <c r="O427" s="75" t="s">
        <v>95</v>
      </c>
      <c r="P427" s="77"/>
    </row>
    <row r="428" customFormat="false" ht="15" hidden="false" customHeight="true" outlineLevel="0" collapsed="false">
      <c r="A428" s="70" t="s">
        <v>1367</v>
      </c>
      <c r="B428" s="71" t="n">
        <v>45510</v>
      </c>
      <c r="C428" s="72" t="s">
        <v>1368</v>
      </c>
      <c r="D428" s="70" t="s">
        <v>1369</v>
      </c>
      <c r="E428" s="70" t="s">
        <v>141</v>
      </c>
      <c r="F428" s="73" t="n">
        <v>19200000</v>
      </c>
      <c r="G428" s="72" t="s">
        <v>100</v>
      </c>
      <c r="H428" s="70" t="s">
        <v>101</v>
      </c>
      <c r="I428" s="70" t="s">
        <v>92</v>
      </c>
      <c r="J428" s="72" t="s">
        <v>124</v>
      </c>
      <c r="K428" s="70" t="s">
        <v>161</v>
      </c>
      <c r="L428" s="71" t="n">
        <v>45515</v>
      </c>
      <c r="M428" s="71" t="n">
        <v>46207</v>
      </c>
      <c r="N428" s="74" t="n">
        <v>-12</v>
      </c>
      <c r="O428" s="70" t="s">
        <v>95</v>
      </c>
      <c r="P428" s="72"/>
    </row>
    <row r="429" customFormat="false" ht="15" hidden="false" customHeight="true" outlineLevel="0" collapsed="false">
      <c r="A429" s="75" t="s">
        <v>1370</v>
      </c>
      <c r="B429" s="76" t="n">
        <v>45601</v>
      </c>
      <c r="C429" s="77" t="s">
        <v>1371</v>
      </c>
      <c r="D429" s="75" t="s">
        <v>1372</v>
      </c>
      <c r="E429" s="75" t="s">
        <v>89</v>
      </c>
      <c r="F429" s="78" t="n">
        <v>31700000</v>
      </c>
      <c r="G429" s="77" t="s">
        <v>159</v>
      </c>
      <c r="H429" s="75" t="s">
        <v>110</v>
      </c>
      <c r="I429" s="75" t="s">
        <v>111</v>
      </c>
      <c r="J429" s="77" t="s">
        <v>142</v>
      </c>
      <c r="K429" s="75" t="s">
        <v>94</v>
      </c>
      <c r="L429" s="76" t="n">
        <v>45602</v>
      </c>
      <c r="M429" s="76" t="n">
        <v>46192</v>
      </c>
      <c r="N429" s="79" t="n">
        <v>3</v>
      </c>
      <c r="O429" s="75" t="s">
        <v>113</v>
      </c>
      <c r="P429" s="77"/>
    </row>
    <row r="430" customFormat="false" ht="15" hidden="false" customHeight="true" outlineLevel="0" collapsed="false">
      <c r="A430" s="70" t="s">
        <v>1373</v>
      </c>
      <c r="B430" s="71" t="n">
        <v>45563</v>
      </c>
      <c r="C430" s="72" t="s">
        <v>1374</v>
      </c>
      <c r="D430" s="70" t="s">
        <v>1375</v>
      </c>
      <c r="E430" s="70" t="s">
        <v>147</v>
      </c>
      <c r="F430" s="73" t="n">
        <v>24700000</v>
      </c>
      <c r="G430" s="72" t="s">
        <v>130</v>
      </c>
      <c r="H430" s="70" t="s">
        <v>110</v>
      </c>
      <c r="I430" s="70" t="s">
        <v>137</v>
      </c>
      <c r="J430" s="72" t="s">
        <v>148</v>
      </c>
      <c r="K430" s="70" t="s">
        <v>143</v>
      </c>
      <c r="L430" s="71" t="n">
        <v>45566</v>
      </c>
      <c r="M430" s="71" t="n">
        <v>46204</v>
      </c>
      <c r="N430" s="74" t="n">
        <v>-9</v>
      </c>
      <c r="O430" s="70" t="s">
        <v>95</v>
      </c>
      <c r="P430" s="72"/>
    </row>
    <row r="431" customFormat="false" ht="15" hidden="false" customHeight="true" outlineLevel="0" collapsed="false">
      <c r="A431" s="75" t="s">
        <v>1376</v>
      </c>
      <c r="B431" s="76" t="n">
        <v>45664</v>
      </c>
      <c r="C431" s="77" t="s">
        <v>1377</v>
      </c>
      <c r="D431" s="75" t="s">
        <v>1378</v>
      </c>
      <c r="E431" s="75" t="s">
        <v>89</v>
      </c>
      <c r="F431" s="78" t="n">
        <v>18000000</v>
      </c>
      <c r="G431" s="77" t="s">
        <v>130</v>
      </c>
      <c r="H431" s="75" t="s">
        <v>101</v>
      </c>
      <c r="I431" s="75" t="s">
        <v>137</v>
      </c>
      <c r="J431" s="77" t="s">
        <v>103</v>
      </c>
      <c r="K431" s="75" t="s">
        <v>104</v>
      </c>
      <c r="L431" s="76" t="n">
        <v>45667</v>
      </c>
      <c r="M431" s="76" t="n">
        <v>46198</v>
      </c>
      <c r="N431" s="79" t="n">
        <v>-3</v>
      </c>
      <c r="O431" s="75" t="s">
        <v>95</v>
      </c>
      <c r="P431" s="77"/>
    </row>
    <row r="432" customFormat="false" ht="15" hidden="false" customHeight="true" outlineLevel="0" collapsed="false">
      <c r="A432" s="70" t="s">
        <v>1379</v>
      </c>
      <c r="B432" s="71" t="n">
        <v>45537</v>
      </c>
      <c r="C432" s="72" t="s">
        <v>1380</v>
      </c>
      <c r="D432" s="70" t="s">
        <v>1381</v>
      </c>
      <c r="E432" s="70" t="s">
        <v>89</v>
      </c>
      <c r="F432" s="73" t="n">
        <v>9600000</v>
      </c>
      <c r="G432" s="72" t="s">
        <v>195</v>
      </c>
      <c r="H432" s="70" t="s">
        <v>131</v>
      </c>
      <c r="I432" s="70" t="s">
        <v>137</v>
      </c>
      <c r="J432" s="72" t="s">
        <v>170</v>
      </c>
      <c r="K432" s="70" t="s">
        <v>205</v>
      </c>
      <c r="L432" s="71" t="n">
        <v>45538</v>
      </c>
      <c r="M432" s="71" t="n">
        <v>45541</v>
      </c>
      <c r="N432" s="74" t="n">
        <v>654</v>
      </c>
      <c r="O432" s="70" t="s">
        <v>113</v>
      </c>
      <c r="P432" s="72"/>
    </row>
    <row r="433" customFormat="false" ht="15" hidden="false" customHeight="true" outlineLevel="0" collapsed="false">
      <c r="A433" s="75" t="s">
        <v>1382</v>
      </c>
      <c r="B433" s="76" t="n">
        <v>45462</v>
      </c>
      <c r="C433" s="77" t="s">
        <v>1383</v>
      </c>
      <c r="D433" s="75" t="s">
        <v>1384</v>
      </c>
      <c r="E433" s="75" t="s">
        <v>89</v>
      </c>
      <c r="F433" s="78" t="n">
        <v>20300000</v>
      </c>
      <c r="G433" s="77" t="s">
        <v>90</v>
      </c>
      <c r="H433" s="75" t="s">
        <v>101</v>
      </c>
      <c r="I433" s="75" t="s">
        <v>137</v>
      </c>
      <c r="J433" s="77" t="s">
        <v>148</v>
      </c>
      <c r="K433" s="75" t="s">
        <v>205</v>
      </c>
      <c r="L433" s="76" t="n">
        <v>45463</v>
      </c>
      <c r="M433" s="76" t="n">
        <v>45464</v>
      </c>
      <c r="N433" s="79" t="n">
        <v>731</v>
      </c>
      <c r="O433" s="75" t="s">
        <v>113</v>
      </c>
      <c r="P433" s="77"/>
    </row>
    <row r="434" customFormat="false" ht="15" hidden="false" customHeight="true" outlineLevel="0" collapsed="false">
      <c r="A434" s="70" t="s">
        <v>1385</v>
      </c>
      <c r="B434" s="71" t="n">
        <v>45430</v>
      </c>
      <c r="C434" s="72" t="s">
        <v>1039</v>
      </c>
      <c r="D434" s="70" t="s">
        <v>1386</v>
      </c>
      <c r="E434" s="70" t="s">
        <v>239</v>
      </c>
      <c r="F434" s="73" t="n">
        <v>18100000</v>
      </c>
      <c r="G434" s="72" t="s">
        <v>130</v>
      </c>
      <c r="H434" s="70" t="s">
        <v>101</v>
      </c>
      <c r="I434" s="70" t="s">
        <v>92</v>
      </c>
      <c r="J434" s="72" t="s">
        <v>112</v>
      </c>
      <c r="K434" s="70" t="s">
        <v>125</v>
      </c>
      <c r="L434" s="71" t="n">
        <v>45435</v>
      </c>
      <c r="M434" s="71" t="n">
        <v>45439</v>
      </c>
      <c r="N434" s="74" t="n">
        <v>756</v>
      </c>
      <c r="O434" s="70" t="s">
        <v>113</v>
      </c>
      <c r="P434" s="72"/>
    </row>
    <row r="435" customFormat="false" ht="15" hidden="false" customHeight="true" outlineLevel="0" collapsed="false">
      <c r="A435" s="75" t="s">
        <v>1387</v>
      </c>
      <c r="B435" s="76" t="n">
        <v>45431</v>
      </c>
      <c r="C435" s="77" t="s">
        <v>1388</v>
      </c>
      <c r="D435" s="75" t="s">
        <v>1389</v>
      </c>
      <c r="E435" s="75" t="s">
        <v>214</v>
      </c>
      <c r="F435" s="78" t="n">
        <v>15500000</v>
      </c>
      <c r="G435" s="77" t="s">
        <v>109</v>
      </c>
      <c r="H435" s="75" t="s">
        <v>174</v>
      </c>
      <c r="I435" s="75" t="s">
        <v>85</v>
      </c>
      <c r="J435" s="77" t="s">
        <v>148</v>
      </c>
      <c r="K435" s="75" t="s">
        <v>125</v>
      </c>
      <c r="L435" s="76" t="n">
        <v>45436</v>
      </c>
      <c r="M435" s="76" t="n">
        <v>45439</v>
      </c>
      <c r="N435" s="79" t="n">
        <v>756</v>
      </c>
      <c r="O435" s="75" t="s">
        <v>113</v>
      </c>
      <c r="P435" s="77" t="s">
        <v>494</v>
      </c>
    </row>
    <row r="436" customFormat="false" ht="15" hidden="false" customHeight="true" outlineLevel="0" collapsed="false">
      <c r="A436" s="70" t="s">
        <v>1390</v>
      </c>
      <c r="B436" s="71" t="n">
        <v>45499</v>
      </c>
      <c r="C436" s="72" t="s">
        <v>1391</v>
      </c>
      <c r="D436" s="70" t="s">
        <v>1392</v>
      </c>
      <c r="E436" s="70" t="s">
        <v>108</v>
      </c>
      <c r="F436" s="73" t="n">
        <v>13100000</v>
      </c>
      <c r="G436" s="72" t="s">
        <v>130</v>
      </c>
      <c r="H436" s="70" t="s">
        <v>131</v>
      </c>
      <c r="I436" s="70" t="s">
        <v>119</v>
      </c>
      <c r="J436" s="72" t="s">
        <v>93</v>
      </c>
      <c r="K436" s="70" t="s">
        <v>125</v>
      </c>
      <c r="L436" s="71" t="n">
        <v>45504</v>
      </c>
      <c r="M436" s="71" t="n">
        <v>45505</v>
      </c>
      <c r="N436" s="74" t="n">
        <v>690</v>
      </c>
      <c r="O436" s="70" t="s">
        <v>113</v>
      </c>
      <c r="P436" s="72"/>
    </row>
    <row r="437" customFormat="false" ht="15" hidden="false" customHeight="true" outlineLevel="0" collapsed="false">
      <c r="A437" s="75" t="s">
        <v>1393</v>
      </c>
      <c r="B437" s="76" t="n">
        <v>45461</v>
      </c>
      <c r="C437" s="77" t="s">
        <v>1394</v>
      </c>
      <c r="D437" s="75" t="s">
        <v>1395</v>
      </c>
      <c r="E437" s="75" t="s">
        <v>239</v>
      </c>
      <c r="F437" s="78" t="n">
        <v>10800000</v>
      </c>
      <c r="G437" s="77" t="s">
        <v>195</v>
      </c>
      <c r="H437" s="75" t="s">
        <v>131</v>
      </c>
      <c r="I437" s="75" t="s">
        <v>111</v>
      </c>
      <c r="J437" s="77" t="s">
        <v>103</v>
      </c>
      <c r="K437" s="75" t="s">
        <v>94</v>
      </c>
      <c r="L437" s="76" t="n">
        <v>45462</v>
      </c>
      <c r="M437" s="76" t="n">
        <v>46208</v>
      </c>
      <c r="N437" s="79" t="n">
        <v>-13</v>
      </c>
      <c r="O437" s="75" t="s">
        <v>95</v>
      </c>
      <c r="P437" s="77"/>
    </row>
    <row r="438" customFormat="false" ht="15" hidden="false" customHeight="true" outlineLevel="0" collapsed="false">
      <c r="A438" s="70" t="s">
        <v>1396</v>
      </c>
      <c r="B438" s="71" t="n">
        <v>45555</v>
      </c>
      <c r="C438" s="72" t="s">
        <v>1397</v>
      </c>
      <c r="D438" s="70" t="s">
        <v>1398</v>
      </c>
      <c r="E438" s="70" t="s">
        <v>117</v>
      </c>
      <c r="F438" s="73" t="n">
        <v>8300000</v>
      </c>
      <c r="G438" s="72" t="s">
        <v>159</v>
      </c>
      <c r="H438" s="70" t="s">
        <v>91</v>
      </c>
      <c r="I438" s="70" t="s">
        <v>111</v>
      </c>
      <c r="J438" s="72" t="s">
        <v>191</v>
      </c>
      <c r="K438" s="70" t="s">
        <v>120</v>
      </c>
      <c r="L438" s="71" t="n">
        <v>45556</v>
      </c>
      <c r="M438" s="71" t="n">
        <v>46213</v>
      </c>
      <c r="N438" s="74" t="n">
        <v>-18</v>
      </c>
      <c r="O438" s="70" t="s">
        <v>95</v>
      </c>
      <c r="P438" s="72"/>
    </row>
    <row r="439" customFormat="false" ht="15" hidden="false" customHeight="true" outlineLevel="0" collapsed="false">
      <c r="A439" s="75" t="s">
        <v>1399</v>
      </c>
      <c r="B439" s="76" t="n">
        <v>45629</v>
      </c>
      <c r="C439" s="77" t="s">
        <v>1374</v>
      </c>
      <c r="D439" s="75" t="s">
        <v>1400</v>
      </c>
      <c r="E439" s="75" t="s">
        <v>239</v>
      </c>
      <c r="F439" s="78" t="n">
        <v>14100000</v>
      </c>
      <c r="G439" s="77" t="s">
        <v>159</v>
      </c>
      <c r="H439" s="75" t="s">
        <v>174</v>
      </c>
      <c r="I439" s="75" t="s">
        <v>119</v>
      </c>
      <c r="J439" s="77" t="s">
        <v>170</v>
      </c>
      <c r="K439" s="75" t="s">
        <v>125</v>
      </c>
      <c r="L439" s="76" t="n">
        <v>45634</v>
      </c>
      <c r="M439" s="76" t="n">
        <v>45636</v>
      </c>
      <c r="N439" s="79" t="n">
        <v>559</v>
      </c>
      <c r="O439" s="75" t="s">
        <v>113</v>
      </c>
      <c r="P439" s="77"/>
    </row>
    <row r="440" customFormat="false" ht="15" hidden="false" customHeight="true" outlineLevel="0" collapsed="false">
      <c r="A440" s="70" t="s">
        <v>1401</v>
      </c>
      <c r="B440" s="71" t="n">
        <v>45677</v>
      </c>
      <c r="C440" s="72" t="s">
        <v>942</v>
      </c>
      <c r="D440" s="70" t="s">
        <v>1402</v>
      </c>
      <c r="E440" s="70" t="s">
        <v>147</v>
      </c>
      <c r="F440" s="73" t="n">
        <v>6800000</v>
      </c>
      <c r="G440" s="72" t="s">
        <v>100</v>
      </c>
      <c r="H440" s="70" t="s">
        <v>91</v>
      </c>
      <c r="I440" s="70" t="s">
        <v>111</v>
      </c>
      <c r="J440" s="72" t="s">
        <v>191</v>
      </c>
      <c r="K440" s="70" t="s">
        <v>104</v>
      </c>
      <c r="L440" s="71" t="n">
        <v>45678</v>
      </c>
      <c r="M440" s="71" t="n">
        <v>46190</v>
      </c>
      <c r="N440" s="74" t="n">
        <v>5</v>
      </c>
      <c r="O440" s="70" t="s">
        <v>113</v>
      </c>
      <c r="P440" s="72"/>
    </row>
    <row r="441" customFormat="false" ht="15" hidden="false" customHeight="true" outlineLevel="0" collapsed="false">
      <c r="A441" s="75" t="s">
        <v>1403</v>
      </c>
      <c r="B441" s="76" t="n">
        <v>45469</v>
      </c>
      <c r="C441" s="77" t="s">
        <v>1404</v>
      </c>
      <c r="D441" s="75" t="s">
        <v>1405</v>
      </c>
      <c r="E441" s="75" t="s">
        <v>165</v>
      </c>
      <c r="F441" s="78" t="n">
        <v>12400000</v>
      </c>
      <c r="G441" s="77" t="s">
        <v>100</v>
      </c>
      <c r="H441" s="75" t="s">
        <v>131</v>
      </c>
      <c r="I441" s="75" t="s">
        <v>137</v>
      </c>
      <c r="J441" s="77" t="s">
        <v>178</v>
      </c>
      <c r="K441" s="75" t="s">
        <v>125</v>
      </c>
      <c r="L441" s="76" t="n">
        <v>45472</v>
      </c>
      <c r="M441" s="76" t="n">
        <v>45477</v>
      </c>
      <c r="N441" s="79" t="n">
        <v>718</v>
      </c>
      <c r="O441" s="75" t="s">
        <v>113</v>
      </c>
      <c r="P441" s="77"/>
    </row>
    <row r="442" customFormat="false" ht="15" hidden="false" customHeight="true" outlineLevel="0" collapsed="false">
      <c r="A442" s="70" t="s">
        <v>1406</v>
      </c>
      <c r="B442" s="71" t="n">
        <v>45426</v>
      </c>
      <c r="C442" s="72" t="s">
        <v>1407</v>
      </c>
      <c r="D442" s="70" t="s">
        <v>1408</v>
      </c>
      <c r="E442" s="70" t="s">
        <v>214</v>
      </c>
      <c r="F442" s="73" t="n">
        <v>7300000</v>
      </c>
      <c r="G442" s="72" t="s">
        <v>195</v>
      </c>
      <c r="H442" s="70" t="s">
        <v>91</v>
      </c>
      <c r="I442" s="70" t="s">
        <v>85</v>
      </c>
      <c r="J442" s="72" t="s">
        <v>209</v>
      </c>
      <c r="K442" s="70" t="s">
        <v>104</v>
      </c>
      <c r="L442" s="71" t="n">
        <v>45427</v>
      </c>
      <c r="M442" s="71" t="n">
        <v>46210</v>
      </c>
      <c r="N442" s="74" t="n">
        <v>-15</v>
      </c>
      <c r="O442" s="70" t="s">
        <v>95</v>
      </c>
      <c r="P442" s="72" t="s">
        <v>494</v>
      </c>
    </row>
    <row r="443" customFormat="false" ht="15" hidden="false" customHeight="true" outlineLevel="0" collapsed="false">
      <c r="A443" s="75" t="s">
        <v>1409</v>
      </c>
      <c r="B443" s="76" t="n">
        <v>45552</v>
      </c>
      <c r="C443" s="77" t="s">
        <v>1410</v>
      </c>
      <c r="D443" s="75" t="s">
        <v>1411</v>
      </c>
      <c r="E443" s="75" t="s">
        <v>108</v>
      </c>
      <c r="F443" s="78" t="n">
        <v>23900000</v>
      </c>
      <c r="G443" s="77" t="s">
        <v>130</v>
      </c>
      <c r="H443" s="75" t="s">
        <v>110</v>
      </c>
      <c r="I443" s="75" t="s">
        <v>111</v>
      </c>
      <c r="J443" s="77" t="s">
        <v>142</v>
      </c>
      <c r="K443" s="75" t="s">
        <v>161</v>
      </c>
      <c r="L443" s="76" t="n">
        <v>45554</v>
      </c>
      <c r="M443" s="76" t="n">
        <v>46210</v>
      </c>
      <c r="N443" s="79" t="n">
        <v>-15</v>
      </c>
      <c r="O443" s="75" t="s">
        <v>95</v>
      </c>
      <c r="P443" s="77"/>
    </row>
    <row r="444" customFormat="false" ht="15" hidden="false" customHeight="true" outlineLevel="0" collapsed="false">
      <c r="A444" s="70" t="s">
        <v>1412</v>
      </c>
      <c r="B444" s="71" t="n">
        <v>45392</v>
      </c>
      <c r="C444" s="72" t="s">
        <v>1413</v>
      </c>
      <c r="D444" s="70" t="s">
        <v>1414</v>
      </c>
      <c r="E444" s="70" t="s">
        <v>147</v>
      </c>
      <c r="F444" s="73" t="n">
        <v>20100000</v>
      </c>
      <c r="G444" s="72" t="s">
        <v>90</v>
      </c>
      <c r="H444" s="70" t="s">
        <v>101</v>
      </c>
      <c r="I444" s="70" t="s">
        <v>137</v>
      </c>
      <c r="J444" s="72" t="s">
        <v>170</v>
      </c>
      <c r="K444" s="70" t="s">
        <v>94</v>
      </c>
      <c r="L444" s="71" t="n">
        <v>45396</v>
      </c>
      <c r="M444" s="71" t="n">
        <v>46205</v>
      </c>
      <c r="N444" s="74" t="n">
        <v>-10</v>
      </c>
      <c r="O444" s="70" t="s">
        <v>95</v>
      </c>
      <c r="P444" s="72"/>
    </row>
    <row r="445" customFormat="false" ht="15" hidden="false" customHeight="true" outlineLevel="0" collapsed="false">
      <c r="A445" s="75" t="s">
        <v>1415</v>
      </c>
      <c r="B445" s="76" t="n">
        <v>45621</v>
      </c>
      <c r="C445" s="77" t="s">
        <v>1416</v>
      </c>
      <c r="D445" s="75" t="s">
        <v>1417</v>
      </c>
      <c r="E445" s="75" t="s">
        <v>239</v>
      </c>
      <c r="F445" s="78" t="n">
        <v>5100000</v>
      </c>
      <c r="G445" s="77" t="s">
        <v>109</v>
      </c>
      <c r="H445" s="75" t="s">
        <v>118</v>
      </c>
      <c r="I445" s="75" t="s">
        <v>92</v>
      </c>
      <c r="J445" s="77" t="s">
        <v>148</v>
      </c>
      <c r="K445" s="75" t="s">
        <v>104</v>
      </c>
      <c r="L445" s="76" t="n">
        <v>45622</v>
      </c>
      <c r="M445" s="76" t="n">
        <v>46189</v>
      </c>
      <c r="N445" s="79" t="n">
        <v>6</v>
      </c>
      <c r="O445" s="75" t="s">
        <v>113</v>
      </c>
      <c r="P445" s="77"/>
    </row>
    <row r="446" customFormat="false" ht="15" hidden="false" customHeight="true" outlineLevel="0" collapsed="false">
      <c r="A446" s="70" t="s">
        <v>1418</v>
      </c>
      <c r="B446" s="71" t="n">
        <v>45433</v>
      </c>
      <c r="C446" s="72" t="s">
        <v>1419</v>
      </c>
      <c r="D446" s="70" t="s">
        <v>1420</v>
      </c>
      <c r="E446" s="70" t="s">
        <v>141</v>
      </c>
      <c r="F446" s="73" t="n">
        <v>12700000</v>
      </c>
      <c r="G446" s="72" t="s">
        <v>195</v>
      </c>
      <c r="H446" s="70" t="s">
        <v>131</v>
      </c>
      <c r="I446" s="70" t="s">
        <v>92</v>
      </c>
      <c r="J446" s="72" t="s">
        <v>191</v>
      </c>
      <c r="K446" s="70" t="s">
        <v>161</v>
      </c>
      <c r="L446" s="71" t="n">
        <v>45436</v>
      </c>
      <c r="M446" s="71" t="n">
        <v>46202</v>
      </c>
      <c r="N446" s="74" t="n">
        <v>-7</v>
      </c>
      <c r="O446" s="70" t="s">
        <v>95</v>
      </c>
      <c r="P446" s="72"/>
    </row>
    <row r="447" customFormat="false" ht="15" hidden="false" customHeight="true" outlineLevel="0" collapsed="false">
      <c r="A447" s="75" t="s">
        <v>1421</v>
      </c>
      <c r="B447" s="76" t="n">
        <v>45654</v>
      </c>
      <c r="C447" s="77" t="s">
        <v>1422</v>
      </c>
      <c r="D447" s="75" t="s">
        <v>1423</v>
      </c>
      <c r="E447" s="75" t="s">
        <v>129</v>
      </c>
      <c r="F447" s="78" t="n">
        <v>19800000</v>
      </c>
      <c r="G447" s="77" t="s">
        <v>100</v>
      </c>
      <c r="H447" s="75" t="s">
        <v>101</v>
      </c>
      <c r="I447" s="75" t="s">
        <v>137</v>
      </c>
      <c r="J447" s="77" t="s">
        <v>178</v>
      </c>
      <c r="K447" s="75" t="s">
        <v>120</v>
      </c>
      <c r="L447" s="76" t="n">
        <v>45657</v>
      </c>
      <c r="M447" s="76" t="n">
        <v>46204</v>
      </c>
      <c r="N447" s="79" t="n">
        <v>-9</v>
      </c>
      <c r="O447" s="75" t="s">
        <v>95</v>
      </c>
      <c r="P447" s="77"/>
    </row>
    <row r="448" customFormat="false" ht="15" hidden="false" customHeight="true" outlineLevel="0" collapsed="false">
      <c r="A448" s="70" t="s">
        <v>1424</v>
      </c>
      <c r="B448" s="71" t="n">
        <v>45414</v>
      </c>
      <c r="C448" s="72" t="s">
        <v>1425</v>
      </c>
      <c r="D448" s="70" t="s">
        <v>1426</v>
      </c>
      <c r="E448" s="70" t="s">
        <v>165</v>
      </c>
      <c r="F448" s="73" t="n">
        <v>12000000</v>
      </c>
      <c r="G448" s="72" t="s">
        <v>130</v>
      </c>
      <c r="H448" s="70" t="s">
        <v>131</v>
      </c>
      <c r="I448" s="70" t="s">
        <v>92</v>
      </c>
      <c r="J448" s="72" t="s">
        <v>103</v>
      </c>
      <c r="K448" s="70" t="s">
        <v>104</v>
      </c>
      <c r="L448" s="71" t="n">
        <v>45417</v>
      </c>
      <c r="M448" s="71" t="n">
        <v>46199</v>
      </c>
      <c r="N448" s="74" t="n">
        <v>-4</v>
      </c>
      <c r="O448" s="70" t="s">
        <v>95</v>
      </c>
      <c r="P448" s="72"/>
    </row>
    <row r="449" customFormat="false" ht="15" hidden="false" customHeight="true" outlineLevel="0" collapsed="false">
      <c r="A449" s="75" t="s">
        <v>1427</v>
      </c>
      <c r="B449" s="76" t="n">
        <v>45578</v>
      </c>
      <c r="C449" s="77" t="s">
        <v>1428</v>
      </c>
      <c r="D449" s="75" t="s">
        <v>1429</v>
      </c>
      <c r="E449" s="75" t="s">
        <v>99</v>
      </c>
      <c r="F449" s="78" t="n">
        <v>12800000</v>
      </c>
      <c r="G449" s="77" t="s">
        <v>109</v>
      </c>
      <c r="H449" s="75" t="s">
        <v>131</v>
      </c>
      <c r="I449" s="75" t="s">
        <v>85</v>
      </c>
      <c r="J449" s="77" t="s">
        <v>170</v>
      </c>
      <c r="K449" s="75" t="s">
        <v>120</v>
      </c>
      <c r="L449" s="76" t="n">
        <v>45583</v>
      </c>
      <c r="M449" s="76" t="n">
        <v>46197</v>
      </c>
      <c r="N449" s="79" t="n">
        <v>-2</v>
      </c>
      <c r="O449" s="75" t="s">
        <v>95</v>
      </c>
      <c r="P449" s="77" t="s">
        <v>187</v>
      </c>
    </row>
    <row r="450" customFormat="false" ht="15" hidden="false" customHeight="true" outlineLevel="0" collapsed="false">
      <c r="A450" s="70" t="s">
        <v>1430</v>
      </c>
      <c r="B450" s="71" t="n">
        <v>45680</v>
      </c>
      <c r="C450" s="72" t="s">
        <v>526</v>
      </c>
      <c r="D450" s="70" t="s">
        <v>1431</v>
      </c>
      <c r="E450" s="70" t="s">
        <v>239</v>
      </c>
      <c r="F450" s="73" t="n">
        <v>14300000</v>
      </c>
      <c r="G450" s="72" t="s">
        <v>130</v>
      </c>
      <c r="H450" s="70" t="s">
        <v>174</v>
      </c>
      <c r="I450" s="70" t="s">
        <v>92</v>
      </c>
      <c r="J450" s="72" t="s">
        <v>124</v>
      </c>
      <c r="K450" s="70" t="s">
        <v>94</v>
      </c>
      <c r="L450" s="71" t="n">
        <v>45685</v>
      </c>
      <c r="M450" s="71" t="n">
        <v>46208</v>
      </c>
      <c r="N450" s="74" t="n">
        <v>-13</v>
      </c>
      <c r="O450" s="70" t="s">
        <v>95</v>
      </c>
      <c r="P450" s="72"/>
    </row>
    <row r="451" customFormat="false" ht="15" hidden="false" customHeight="true" outlineLevel="0" collapsed="false">
      <c r="A451" s="75" t="s">
        <v>1432</v>
      </c>
      <c r="B451" s="76" t="n">
        <v>45672</v>
      </c>
      <c r="C451" s="77" t="s">
        <v>1433</v>
      </c>
      <c r="D451" s="75" t="s">
        <v>1434</v>
      </c>
      <c r="E451" s="75" t="s">
        <v>89</v>
      </c>
      <c r="F451" s="78" t="n">
        <v>15800000</v>
      </c>
      <c r="G451" s="77" t="s">
        <v>109</v>
      </c>
      <c r="H451" s="75" t="s">
        <v>174</v>
      </c>
      <c r="I451" s="75" t="s">
        <v>160</v>
      </c>
      <c r="J451" s="77" t="s">
        <v>170</v>
      </c>
      <c r="K451" s="75" t="s">
        <v>94</v>
      </c>
      <c r="L451" s="76" t="n">
        <v>45674</v>
      </c>
      <c r="M451" s="76" t="n">
        <v>46197</v>
      </c>
      <c r="N451" s="79" t="n">
        <v>-2</v>
      </c>
      <c r="O451" s="75" t="s">
        <v>95</v>
      </c>
      <c r="P451" s="77"/>
    </row>
    <row r="452" customFormat="false" ht="15" hidden="false" customHeight="true" outlineLevel="0" collapsed="false">
      <c r="A452" s="70" t="s">
        <v>1435</v>
      </c>
      <c r="B452" s="71" t="n">
        <v>45594</v>
      </c>
      <c r="C452" s="72" t="s">
        <v>1436</v>
      </c>
      <c r="D452" s="70" t="s">
        <v>1437</v>
      </c>
      <c r="E452" s="70" t="s">
        <v>129</v>
      </c>
      <c r="F452" s="73" t="n">
        <v>6600000</v>
      </c>
      <c r="G452" s="72" t="s">
        <v>130</v>
      </c>
      <c r="H452" s="70" t="s">
        <v>91</v>
      </c>
      <c r="I452" s="70" t="s">
        <v>160</v>
      </c>
      <c r="J452" s="72" t="s">
        <v>209</v>
      </c>
      <c r="K452" s="70" t="s">
        <v>125</v>
      </c>
      <c r="L452" s="71" t="n">
        <v>45598</v>
      </c>
      <c r="M452" s="71" t="n">
        <v>45601</v>
      </c>
      <c r="N452" s="74" t="n">
        <v>594</v>
      </c>
      <c r="O452" s="70" t="s">
        <v>113</v>
      </c>
      <c r="P452" s="72"/>
    </row>
    <row r="453" customFormat="false" ht="15" hidden="false" customHeight="true" outlineLevel="0" collapsed="false">
      <c r="A453" s="75" t="s">
        <v>1438</v>
      </c>
      <c r="B453" s="76" t="n">
        <v>45693</v>
      </c>
      <c r="C453" s="77" t="s">
        <v>1439</v>
      </c>
      <c r="D453" s="75" t="s">
        <v>1440</v>
      </c>
      <c r="E453" s="75" t="s">
        <v>99</v>
      </c>
      <c r="F453" s="78" t="n">
        <v>7300000</v>
      </c>
      <c r="G453" s="77" t="s">
        <v>159</v>
      </c>
      <c r="H453" s="75" t="s">
        <v>91</v>
      </c>
      <c r="I453" s="75" t="s">
        <v>102</v>
      </c>
      <c r="J453" s="77" t="s">
        <v>148</v>
      </c>
      <c r="K453" s="75" t="s">
        <v>161</v>
      </c>
      <c r="L453" s="76" t="n">
        <v>45698</v>
      </c>
      <c r="M453" s="76" t="n">
        <v>46206</v>
      </c>
      <c r="N453" s="79" t="n">
        <v>-11</v>
      </c>
      <c r="O453" s="75" t="s">
        <v>95</v>
      </c>
      <c r="P453" s="77"/>
    </row>
    <row r="454" customFormat="false" ht="15" hidden="false" customHeight="true" outlineLevel="0" collapsed="false">
      <c r="A454" s="70" t="s">
        <v>1441</v>
      </c>
      <c r="B454" s="71" t="n">
        <v>45692</v>
      </c>
      <c r="C454" s="72" t="s">
        <v>1260</v>
      </c>
      <c r="D454" s="70" t="s">
        <v>1442</v>
      </c>
      <c r="E454" s="70" t="s">
        <v>155</v>
      </c>
      <c r="F454" s="73" t="n">
        <v>10200000</v>
      </c>
      <c r="G454" s="72" t="s">
        <v>195</v>
      </c>
      <c r="H454" s="70" t="s">
        <v>131</v>
      </c>
      <c r="I454" s="70" t="s">
        <v>85</v>
      </c>
      <c r="J454" s="72" t="s">
        <v>142</v>
      </c>
      <c r="K454" s="70" t="s">
        <v>120</v>
      </c>
      <c r="L454" s="71" t="n">
        <v>45696</v>
      </c>
      <c r="M454" s="71" t="n">
        <v>46206</v>
      </c>
      <c r="N454" s="74" t="n">
        <v>-11</v>
      </c>
      <c r="O454" s="70" t="s">
        <v>95</v>
      </c>
      <c r="P454" s="72" t="s">
        <v>132</v>
      </c>
    </row>
    <row r="455" customFormat="false" ht="15" hidden="false" customHeight="true" outlineLevel="0" collapsed="false">
      <c r="A455" s="75" t="s">
        <v>1443</v>
      </c>
      <c r="B455" s="76" t="n">
        <v>45390</v>
      </c>
      <c r="C455" s="77" t="s">
        <v>1444</v>
      </c>
      <c r="D455" s="75" t="s">
        <v>1445</v>
      </c>
      <c r="E455" s="75" t="s">
        <v>129</v>
      </c>
      <c r="F455" s="78" t="n">
        <v>7400000</v>
      </c>
      <c r="G455" s="77" t="s">
        <v>109</v>
      </c>
      <c r="H455" s="75" t="s">
        <v>91</v>
      </c>
      <c r="I455" s="75" t="s">
        <v>102</v>
      </c>
      <c r="J455" s="77" t="s">
        <v>191</v>
      </c>
      <c r="K455" s="75" t="s">
        <v>125</v>
      </c>
      <c r="L455" s="76" t="n">
        <v>45393</v>
      </c>
      <c r="M455" s="76" t="n">
        <v>45397</v>
      </c>
      <c r="N455" s="79" t="n">
        <v>798</v>
      </c>
      <c r="O455" s="75" t="s">
        <v>113</v>
      </c>
      <c r="P455" s="77"/>
    </row>
    <row r="456" customFormat="false" ht="15" hidden="false" customHeight="true" outlineLevel="0" collapsed="false">
      <c r="A456" s="70" t="s">
        <v>1446</v>
      </c>
      <c r="B456" s="71" t="n">
        <v>45617</v>
      </c>
      <c r="C456" s="72" t="s">
        <v>1447</v>
      </c>
      <c r="D456" s="70" t="s">
        <v>1448</v>
      </c>
      <c r="E456" s="70" t="s">
        <v>141</v>
      </c>
      <c r="F456" s="73" t="n">
        <v>15600000</v>
      </c>
      <c r="G456" s="72" t="s">
        <v>109</v>
      </c>
      <c r="H456" s="70" t="s">
        <v>174</v>
      </c>
      <c r="I456" s="70" t="s">
        <v>137</v>
      </c>
      <c r="J456" s="72" t="s">
        <v>142</v>
      </c>
      <c r="K456" s="70" t="s">
        <v>94</v>
      </c>
      <c r="L456" s="71" t="n">
        <v>45619</v>
      </c>
      <c r="M456" s="71" t="n">
        <v>46200</v>
      </c>
      <c r="N456" s="74" t="n">
        <v>-5</v>
      </c>
      <c r="O456" s="70" t="s">
        <v>95</v>
      </c>
      <c r="P456" s="72"/>
    </row>
    <row r="457" customFormat="false" ht="15" hidden="false" customHeight="true" outlineLevel="0" collapsed="false">
      <c r="A457" s="75" t="s">
        <v>1449</v>
      </c>
      <c r="B457" s="76" t="n">
        <v>45651</v>
      </c>
      <c r="C457" s="77" t="s">
        <v>1450</v>
      </c>
      <c r="D457" s="75" t="s">
        <v>1451</v>
      </c>
      <c r="E457" s="75" t="s">
        <v>89</v>
      </c>
      <c r="F457" s="78" t="n">
        <v>14600000</v>
      </c>
      <c r="G457" s="77" t="s">
        <v>130</v>
      </c>
      <c r="H457" s="75" t="s">
        <v>174</v>
      </c>
      <c r="I457" s="75" t="s">
        <v>85</v>
      </c>
      <c r="J457" s="77" t="s">
        <v>148</v>
      </c>
      <c r="K457" s="75" t="s">
        <v>161</v>
      </c>
      <c r="L457" s="76" t="n">
        <v>45652</v>
      </c>
      <c r="M457" s="76" t="n">
        <v>46203</v>
      </c>
      <c r="N457" s="79" t="n">
        <v>-8</v>
      </c>
      <c r="O457" s="75" t="s">
        <v>95</v>
      </c>
      <c r="P457" s="77" t="s">
        <v>240</v>
      </c>
    </row>
    <row r="458" customFormat="false" ht="15" hidden="false" customHeight="true" outlineLevel="0" collapsed="false">
      <c r="A458" s="70" t="s">
        <v>1452</v>
      </c>
      <c r="B458" s="71" t="n">
        <v>45705</v>
      </c>
      <c r="C458" s="72" t="s">
        <v>499</v>
      </c>
      <c r="D458" s="70" t="s">
        <v>1453</v>
      </c>
      <c r="E458" s="70" t="s">
        <v>147</v>
      </c>
      <c r="F458" s="73" t="n">
        <v>22700000</v>
      </c>
      <c r="G458" s="72" t="s">
        <v>186</v>
      </c>
      <c r="H458" s="70" t="s">
        <v>110</v>
      </c>
      <c r="I458" s="70" t="s">
        <v>137</v>
      </c>
      <c r="J458" s="72" t="s">
        <v>191</v>
      </c>
      <c r="K458" s="70" t="s">
        <v>161</v>
      </c>
      <c r="L458" s="71" t="n">
        <v>45706</v>
      </c>
      <c r="M458" s="71" t="n">
        <v>46193</v>
      </c>
      <c r="N458" s="74" t="n">
        <v>2</v>
      </c>
      <c r="O458" s="70" t="s">
        <v>113</v>
      </c>
      <c r="P458" s="72"/>
    </row>
    <row r="459" customFormat="false" ht="15" hidden="false" customHeight="true" outlineLevel="0" collapsed="false">
      <c r="A459" s="75" t="s">
        <v>1454</v>
      </c>
      <c r="B459" s="76" t="n">
        <v>45647</v>
      </c>
      <c r="C459" s="77" t="s">
        <v>1455</v>
      </c>
      <c r="D459" s="75" t="s">
        <v>1456</v>
      </c>
      <c r="E459" s="75" t="s">
        <v>239</v>
      </c>
      <c r="F459" s="78" t="n">
        <v>8300000</v>
      </c>
      <c r="G459" s="77" t="s">
        <v>166</v>
      </c>
      <c r="H459" s="75" t="s">
        <v>91</v>
      </c>
      <c r="I459" s="75" t="s">
        <v>111</v>
      </c>
      <c r="J459" s="77" t="s">
        <v>148</v>
      </c>
      <c r="K459" s="75" t="s">
        <v>205</v>
      </c>
      <c r="L459" s="76" t="n">
        <v>45649</v>
      </c>
      <c r="M459" s="76" t="n">
        <v>45653</v>
      </c>
      <c r="N459" s="79" t="n">
        <v>542</v>
      </c>
      <c r="O459" s="75" t="s">
        <v>113</v>
      </c>
      <c r="P459" s="77"/>
    </row>
    <row r="460" customFormat="false" ht="15" hidden="false" customHeight="true" outlineLevel="0" collapsed="false">
      <c r="A460" s="70" t="s">
        <v>1457</v>
      </c>
      <c r="B460" s="71" t="n">
        <v>45594</v>
      </c>
      <c r="C460" s="72" t="s">
        <v>1458</v>
      </c>
      <c r="D460" s="70" t="s">
        <v>1459</v>
      </c>
      <c r="E460" s="70" t="s">
        <v>89</v>
      </c>
      <c r="F460" s="73" t="n">
        <v>9000000</v>
      </c>
      <c r="G460" s="72" t="s">
        <v>159</v>
      </c>
      <c r="H460" s="70" t="s">
        <v>91</v>
      </c>
      <c r="I460" s="70" t="s">
        <v>85</v>
      </c>
      <c r="J460" s="72" t="s">
        <v>103</v>
      </c>
      <c r="K460" s="70" t="s">
        <v>120</v>
      </c>
      <c r="L460" s="71" t="n">
        <v>45597</v>
      </c>
      <c r="M460" s="71" t="n">
        <v>46211</v>
      </c>
      <c r="N460" s="74" t="n">
        <v>-16</v>
      </c>
      <c r="O460" s="70" t="s">
        <v>95</v>
      </c>
      <c r="P460" s="72" t="s">
        <v>494</v>
      </c>
    </row>
    <row r="461" customFormat="false" ht="15" hidden="false" customHeight="true" outlineLevel="0" collapsed="false">
      <c r="A461" s="75" t="s">
        <v>1460</v>
      </c>
      <c r="B461" s="76" t="n">
        <v>45446</v>
      </c>
      <c r="C461" s="77" t="s">
        <v>1461</v>
      </c>
      <c r="D461" s="75" t="s">
        <v>1462</v>
      </c>
      <c r="E461" s="75" t="s">
        <v>214</v>
      </c>
      <c r="F461" s="78" t="n">
        <v>12200000</v>
      </c>
      <c r="G461" s="77" t="s">
        <v>159</v>
      </c>
      <c r="H461" s="75" t="s">
        <v>131</v>
      </c>
      <c r="I461" s="75" t="s">
        <v>85</v>
      </c>
      <c r="J461" s="77" t="s">
        <v>170</v>
      </c>
      <c r="K461" s="75" t="s">
        <v>94</v>
      </c>
      <c r="L461" s="76" t="n">
        <v>45447</v>
      </c>
      <c r="M461" s="76" t="n">
        <v>46190</v>
      </c>
      <c r="N461" s="79" t="n">
        <v>5</v>
      </c>
      <c r="O461" s="75" t="s">
        <v>113</v>
      </c>
      <c r="P461" s="77" t="s">
        <v>301</v>
      </c>
    </row>
    <row r="462" customFormat="false" ht="15" hidden="false" customHeight="true" outlineLevel="0" collapsed="false">
      <c r="A462" s="70" t="s">
        <v>1463</v>
      </c>
      <c r="B462" s="71" t="n">
        <v>45577</v>
      </c>
      <c r="C462" s="72" t="s">
        <v>540</v>
      </c>
      <c r="D462" s="70" t="s">
        <v>1464</v>
      </c>
      <c r="E462" s="70" t="s">
        <v>89</v>
      </c>
      <c r="F462" s="73" t="n">
        <v>30600000</v>
      </c>
      <c r="G462" s="72" t="s">
        <v>186</v>
      </c>
      <c r="H462" s="70" t="s">
        <v>110</v>
      </c>
      <c r="I462" s="70" t="s">
        <v>137</v>
      </c>
      <c r="J462" s="72" t="s">
        <v>170</v>
      </c>
      <c r="K462" s="70" t="s">
        <v>143</v>
      </c>
      <c r="L462" s="71" t="n">
        <v>45578</v>
      </c>
      <c r="M462" s="71" t="n">
        <v>46192</v>
      </c>
      <c r="N462" s="74" t="n">
        <v>3</v>
      </c>
      <c r="O462" s="70" t="s">
        <v>113</v>
      </c>
      <c r="P462" s="72"/>
    </row>
    <row r="463" customFormat="false" ht="15" hidden="false" customHeight="true" outlineLevel="0" collapsed="false">
      <c r="A463" s="75" t="s">
        <v>1465</v>
      </c>
      <c r="B463" s="76" t="n">
        <v>45611</v>
      </c>
      <c r="C463" s="77" t="s">
        <v>1466</v>
      </c>
      <c r="D463" s="75" t="s">
        <v>1467</v>
      </c>
      <c r="E463" s="75" t="s">
        <v>129</v>
      </c>
      <c r="F463" s="78" t="n">
        <v>9500000</v>
      </c>
      <c r="G463" s="77" t="s">
        <v>109</v>
      </c>
      <c r="H463" s="75" t="s">
        <v>91</v>
      </c>
      <c r="I463" s="75" t="s">
        <v>102</v>
      </c>
      <c r="J463" s="77" t="s">
        <v>191</v>
      </c>
      <c r="K463" s="75" t="s">
        <v>104</v>
      </c>
      <c r="L463" s="76" t="n">
        <v>45614</v>
      </c>
      <c r="M463" s="76" t="n">
        <v>46207</v>
      </c>
      <c r="N463" s="79" t="n">
        <v>-12</v>
      </c>
      <c r="O463" s="75" t="s">
        <v>95</v>
      </c>
      <c r="P463" s="77"/>
    </row>
    <row r="464" customFormat="false" ht="15" hidden="false" customHeight="true" outlineLevel="0" collapsed="false">
      <c r="A464" s="70" t="s">
        <v>1468</v>
      </c>
      <c r="B464" s="71" t="n">
        <v>45385</v>
      </c>
      <c r="C464" s="72" t="s">
        <v>251</v>
      </c>
      <c r="D464" s="70" t="s">
        <v>1469</v>
      </c>
      <c r="E464" s="70" t="s">
        <v>108</v>
      </c>
      <c r="F464" s="73" t="n">
        <v>5500000</v>
      </c>
      <c r="G464" s="72" t="s">
        <v>90</v>
      </c>
      <c r="H464" s="70" t="s">
        <v>118</v>
      </c>
      <c r="I464" s="70" t="s">
        <v>119</v>
      </c>
      <c r="J464" s="72" t="s">
        <v>142</v>
      </c>
      <c r="K464" s="70" t="s">
        <v>161</v>
      </c>
      <c r="L464" s="71" t="n">
        <v>45390</v>
      </c>
      <c r="M464" s="71" t="n">
        <v>46202</v>
      </c>
      <c r="N464" s="74" t="n">
        <v>-7</v>
      </c>
      <c r="O464" s="70" t="s">
        <v>95</v>
      </c>
      <c r="P464" s="72"/>
    </row>
    <row r="465" customFormat="false" ht="15" hidden="false" customHeight="true" outlineLevel="0" collapsed="false">
      <c r="A465" s="75" t="s">
        <v>1470</v>
      </c>
      <c r="B465" s="76" t="n">
        <v>45663</v>
      </c>
      <c r="C465" s="77" t="s">
        <v>1112</v>
      </c>
      <c r="D465" s="75" t="s">
        <v>1471</v>
      </c>
      <c r="E465" s="75" t="s">
        <v>214</v>
      </c>
      <c r="F465" s="78" t="n">
        <v>12300000</v>
      </c>
      <c r="G465" s="77" t="s">
        <v>186</v>
      </c>
      <c r="H465" s="75" t="s">
        <v>174</v>
      </c>
      <c r="I465" s="75" t="s">
        <v>137</v>
      </c>
      <c r="J465" s="77" t="s">
        <v>148</v>
      </c>
      <c r="K465" s="75" t="s">
        <v>120</v>
      </c>
      <c r="L465" s="76" t="n">
        <v>45666</v>
      </c>
      <c r="M465" s="76" t="n">
        <v>46196</v>
      </c>
      <c r="N465" s="79" t="n">
        <v>-1</v>
      </c>
      <c r="O465" s="75" t="s">
        <v>95</v>
      </c>
      <c r="P465" s="77"/>
    </row>
    <row r="466" customFormat="false" ht="15" hidden="false" customHeight="true" outlineLevel="0" collapsed="false">
      <c r="A466" s="70" t="s">
        <v>1472</v>
      </c>
      <c r="B466" s="71" t="n">
        <v>45691</v>
      </c>
      <c r="C466" s="72" t="s">
        <v>1327</v>
      </c>
      <c r="D466" s="70" t="s">
        <v>1473</v>
      </c>
      <c r="E466" s="70" t="s">
        <v>155</v>
      </c>
      <c r="F466" s="73" t="n">
        <v>4800000</v>
      </c>
      <c r="G466" s="72" t="s">
        <v>130</v>
      </c>
      <c r="H466" s="70" t="s">
        <v>118</v>
      </c>
      <c r="I466" s="70" t="s">
        <v>160</v>
      </c>
      <c r="J466" s="72" t="s">
        <v>178</v>
      </c>
      <c r="K466" s="70" t="s">
        <v>94</v>
      </c>
      <c r="L466" s="71" t="n">
        <v>45694</v>
      </c>
      <c r="M466" s="71" t="n">
        <v>46197</v>
      </c>
      <c r="N466" s="74" t="n">
        <v>-2</v>
      </c>
      <c r="O466" s="70" t="s">
        <v>95</v>
      </c>
      <c r="P466" s="72"/>
    </row>
    <row r="467" customFormat="false" ht="15" hidden="false" customHeight="true" outlineLevel="0" collapsed="false">
      <c r="A467" s="75" t="s">
        <v>1474</v>
      </c>
      <c r="B467" s="76" t="n">
        <v>45670</v>
      </c>
      <c r="C467" s="77" t="s">
        <v>1475</v>
      </c>
      <c r="D467" s="75" t="s">
        <v>1476</v>
      </c>
      <c r="E467" s="75" t="s">
        <v>129</v>
      </c>
      <c r="F467" s="78" t="n">
        <v>26800000</v>
      </c>
      <c r="G467" s="77" t="s">
        <v>109</v>
      </c>
      <c r="H467" s="75" t="s">
        <v>110</v>
      </c>
      <c r="I467" s="75" t="s">
        <v>137</v>
      </c>
      <c r="J467" s="77" t="s">
        <v>148</v>
      </c>
      <c r="K467" s="75" t="s">
        <v>161</v>
      </c>
      <c r="L467" s="76" t="n">
        <v>45672</v>
      </c>
      <c r="M467" s="76" t="n">
        <v>46201</v>
      </c>
      <c r="N467" s="79" t="n">
        <v>-6</v>
      </c>
      <c r="O467" s="75" t="s">
        <v>95</v>
      </c>
      <c r="P467" s="77"/>
    </row>
    <row r="468" customFormat="false" ht="15" hidden="false" customHeight="true" outlineLevel="0" collapsed="false">
      <c r="A468" s="70" t="s">
        <v>1477</v>
      </c>
      <c r="B468" s="71" t="n">
        <v>45664</v>
      </c>
      <c r="C468" s="72" t="s">
        <v>1478</v>
      </c>
      <c r="D468" s="70" t="s">
        <v>1479</v>
      </c>
      <c r="E468" s="70" t="s">
        <v>141</v>
      </c>
      <c r="F468" s="73" t="n">
        <v>12600000</v>
      </c>
      <c r="G468" s="72" t="s">
        <v>90</v>
      </c>
      <c r="H468" s="70" t="s">
        <v>131</v>
      </c>
      <c r="I468" s="70" t="s">
        <v>119</v>
      </c>
      <c r="J468" s="72" t="s">
        <v>93</v>
      </c>
      <c r="K468" s="70" t="s">
        <v>125</v>
      </c>
      <c r="L468" s="71" t="n">
        <v>45665</v>
      </c>
      <c r="M468" s="71" t="n">
        <v>45668</v>
      </c>
      <c r="N468" s="74" t="n">
        <v>527</v>
      </c>
      <c r="O468" s="70" t="s">
        <v>113</v>
      </c>
      <c r="P468" s="72"/>
    </row>
    <row r="469" customFormat="false" ht="15" hidden="false" customHeight="true" outlineLevel="0" collapsed="false">
      <c r="A469" s="75" t="s">
        <v>1480</v>
      </c>
      <c r="B469" s="76" t="n">
        <v>45438</v>
      </c>
      <c r="C469" s="77" t="s">
        <v>1481</v>
      </c>
      <c r="D469" s="75" t="s">
        <v>1482</v>
      </c>
      <c r="E469" s="75" t="s">
        <v>165</v>
      </c>
      <c r="F469" s="78" t="n">
        <v>17800000</v>
      </c>
      <c r="G469" s="77" t="s">
        <v>186</v>
      </c>
      <c r="H469" s="75" t="s">
        <v>101</v>
      </c>
      <c r="I469" s="75" t="s">
        <v>85</v>
      </c>
      <c r="J469" s="77" t="s">
        <v>124</v>
      </c>
      <c r="K469" s="75" t="s">
        <v>161</v>
      </c>
      <c r="L469" s="76" t="n">
        <v>45443</v>
      </c>
      <c r="M469" s="76" t="n">
        <v>46210</v>
      </c>
      <c r="N469" s="79" t="n">
        <v>-15</v>
      </c>
      <c r="O469" s="75" t="s">
        <v>95</v>
      </c>
      <c r="P469" s="77" t="s">
        <v>240</v>
      </c>
    </row>
    <row r="470" customFormat="false" ht="15" hidden="false" customHeight="true" outlineLevel="0" collapsed="false">
      <c r="A470" s="70" t="s">
        <v>1483</v>
      </c>
      <c r="B470" s="71" t="n">
        <v>45449</v>
      </c>
      <c r="C470" s="72" t="s">
        <v>1484</v>
      </c>
      <c r="D470" s="70" t="s">
        <v>1485</v>
      </c>
      <c r="E470" s="70" t="s">
        <v>117</v>
      </c>
      <c r="F470" s="73" t="n">
        <v>13900000</v>
      </c>
      <c r="G470" s="72" t="s">
        <v>130</v>
      </c>
      <c r="H470" s="70" t="s">
        <v>131</v>
      </c>
      <c r="I470" s="70" t="s">
        <v>137</v>
      </c>
      <c r="J470" s="72" t="s">
        <v>148</v>
      </c>
      <c r="K470" s="70" t="s">
        <v>143</v>
      </c>
      <c r="L470" s="71" t="n">
        <v>45454</v>
      </c>
      <c r="M470" s="71" t="n">
        <v>46205</v>
      </c>
      <c r="N470" s="74" t="n">
        <v>-10</v>
      </c>
      <c r="O470" s="70" t="s">
        <v>95</v>
      </c>
      <c r="P470" s="72"/>
    </row>
    <row r="471" customFormat="false" ht="15" hidden="false" customHeight="true" outlineLevel="0" collapsed="false">
      <c r="A471" s="75" t="s">
        <v>1486</v>
      </c>
      <c r="B471" s="76" t="n">
        <v>45621</v>
      </c>
      <c r="C471" s="77" t="s">
        <v>1487</v>
      </c>
      <c r="D471" s="75" t="s">
        <v>1488</v>
      </c>
      <c r="E471" s="75" t="s">
        <v>129</v>
      </c>
      <c r="F471" s="78" t="n">
        <v>26900000</v>
      </c>
      <c r="G471" s="77" t="s">
        <v>100</v>
      </c>
      <c r="H471" s="75" t="s">
        <v>110</v>
      </c>
      <c r="I471" s="75" t="s">
        <v>92</v>
      </c>
      <c r="J471" s="77" t="s">
        <v>178</v>
      </c>
      <c r="K471" s="75" t="s">
        <v>120</v>
      </c>
      <c r="L471" s="76" t="n">
        <v>45622</v>
      </c>
      <c r="M471" s="76" t="n">
        <v>46196</v>
      </c>
      <c r="N471" s="79" t="n">
        <v>-1</v>
      </c>
      <c r="O471" s="75" t="s">
        <v>95</v>
      </c>
      <c r="P471" s="77"/>
    </row>
    <row r="472" customFormat="false" ht="15" hidden="false" customHeight="true" outlineLevel="0" collapsed="false">
      <c r="A472" s="70" t="s">
        <v>1489</v>
      </c>
      <c r="B472" s="71" t="n">
        <v>45513</v>
      </c>
      <c r="C472" s="72" t="s">
        <v>1490</v>
      </c>
      <c r="D472" s="70" t="s">
        <v>1491</v>
      </c>
      <c r="E472" s="70" t="s">
        <v>108</v>
      </c>
      <c r="F472" s="73" t="n">
        <v>11300000</v>
      </c>
      <c r="G472" s="72" t="s">
        <v>130</v>
      </c>
      <c r="H472" s="70" t="s">
        <v>131</v>
      </c>
      <c r="I472" s="70" t="s">
        <v>102</v>
      </c>
      <c r="J472" s="72" t="s">
        <v>124</v>
      </c>
      <c r="K472" s="70" t="s">
        <v>94</v>
      </c>
      <c r="L472" s="71" t="n">
        <v>45514</v>
      </c>
      <c r="M472" s="71" t="n">
        <v>46196</v>
      </c>
      <c r="N472" s="74" t="n">
        <v>-1</v>
      </c>
      <c r="O472" s="70" t="s">
        <v>95</v>
      </c>
      <c r="P472" s="72"/>
    </row>
    <row r="473" customFormat="false" ht="15" hidden="false" customHeight="true" outlineLevel="0" collapsed="false">
      <c r="A473" s="75" t="s">
        <v>1492</v>
      </c>
      <c r="B473" s="76" t="n">
        <v>45698</v>
      </c>
      <c r="C473" s="77" t="s">
        <v>1493</v>
      </c>
      <c r="D473" s="75" t="s">
        <v>1494</v>
      </c>
      <c r="E473" s="75" t="s">
        <v>108</v>
      </c>
      <c r="F473" s="78" t="n">
        <v>27600000</v>
      </c>
      <c r="G473" s="77" t="s">
        <v>159</v>
      </c>
      <c r="H473" s="75" t="s">
        <v>110</v>
      </c>
      <c r="I473" s="75" t="s">
        <v>111</v>
      </c>
      <c r="J473" s="77" t="s">
        <v>191</v>
      </c>
      <c r="K473" s="75" t="s">
        <v>125</v>
      </c>
      <c r="L473" s="76" t="n">
        <v>45699</v>
      </c>
      <c r="M473" s="76" t="n">
        <v>45701</v>
      </c>
      <c r="N473" s="79" t="n">
        <v>494</v>
      </c>
      <c r="O473" s="75" t="s">
        <v>113</v>
      </c>
      <c r="P473" s="77"/>
    </row>
    <row r="474" customFormat="false" ht="15" hidden="false" customHeight="true" outlineLevel="0" collapsed="false">
      <c r="A474" s="70" t="s">
        <v>1495</v>
      </c>
      <c r="B474" s="71" t="n">
        <v>45657</v>
      </c>
      <c r="C474" s="72" t="s">
        <v>1496</v>
      </c>
      <c r="D474" s="70" t="s">
        <v>1497</v>
      </c>
      <c r="E474" s="70" t="s">
        <v>214</v>
      </c>
      <c r="F474" s="73" t="n">
        <v>24300000</v>
      </c>
      <c r="G474" s="72" t="s">
        <v>195</v>
      </c>
      <c r="H474" s="70" t="s">
        <v>110</v>
      </c>
      <c r="I474" s="70" t="s">
        <v>119</v>
      </c>
      <c r="J474" s="72" t="s">
        <v>170</v>
      </c>
      <c r="K474" s="70" t="s">
        <v>94</v>
      </c>
      <c r="L474" s="71" t="n">
        <v>45660</v>
      </c>
      <c r="M474" s="71" t="n">
        <v>46201</v>
      </c>
      <c r="N474" s="74" t="n">
        <v>-6</v>
      </c>
      <c r="O474" s="70" t="s">
        <v>95</v>
      </c>
      <c r="P474" s="72"/>
    </row>
    <row r="475" customFormat="false" ht="15" hidden="false" customHeight="true" outlineLevel="0" collapsed="false">
      <c r="A475" s="75" t="s">
        <v>1498</v>
      </c>
      <c r="B475" s="76" t="n">
        <v>45552</v>
      </c>
      <c r="C475" s="77" t="s">
        <v>1499</v>
      </c>
      <c r="D475" s="75" t="s">
        <v>1500</v>
      </c>
      <c r="E475" s="75" t="s">
        <v>239</v>
      </c>
      <c r="F475" s="78" t="n">
        <v>20500000</v>
      </c>
      <c r="G475" s="77" t="s">
        <v>130</v>
      </c>
      <c r="H475" s="75" t="s">
        <v>101</v>
      </c>
      <c r="I475" s="75" t="s">
        <v>102</v>
      </c>
      <c r="J475" s="77" t="s">
        <v>124</v>
      </c>
      <c r="K475" s="75" t="s">
        <v>161</v>
      </c>
      <c r="L475" s="76" t="n">
        <v>45555</v>
      </c>
      <c r="M475" s="76" t="n">
        <v>46189</v>
      </c>
      <c r="N475" s="79" t="n">
        <v>6</v>
      </c>
      <c r="O475" s="75" t="s">
        <v>113</v>
      </c>
      <c r="P475" s="77"/>
    </row>
    <row r="476" customFormat="false" ht="15" hidden="false" customHeight="true" outlineLevel="0" collapsed="false">
      <c r="A476" s="70" t="s">
        <v>1501</v>
      </c>
      <c r="B476" s="71" t="n">
        <v>45540</v>
      </c>
      <c r="C476" s="72" t="s">
        <v>1502</v>
      </c>
      <c r="D476" s="70" t="s">
        <v>1503</v>
      </c>
      <c r="E476" s="70" t="s">
        <v>136</v>
      </c>
      <c r="F476" s="73" t="n">
        <v>21100000</v>
      </c>
      <c r="G476" s="72" t="s">
        <v>109</v>
      </c>
      <c r="H476" s="70" t="s">
        <v>101</v>
      </c>
      <c r="I476" s="70" t="s">
        <v>119</v>
      </c>
      <c r="J476" s="72" t="s">
        <v>170</v>
      </c>
      <c r="K476" s="70" t="s">
        <v>161</v>
      </c>
      <c r="L476" s="71" t="n">
        <v>45543</v>
      </c>
      <c r="M476" s="71" t="n">
        <v>46209</v>
      </c>
      <c r="N476" s="74" t="n">
        <v>-14</v>
      </c>
      <c r="O476" s="70" t="s">
        <v>95</v>
      </c>
      <c r="P476" s="72"/>
    </row>
    <row r="477" customFormat="false" ht="15" hidden="false" customHeight="true" outlineLevel="0" collapsed="false">
      <c r="A477" s="75" t="s">
        <v>1504</v>
      </c>
      <c r="B477" s="76" t="n">
        <v>45537</v>
      </c>
      <c r="C477" s="77" t="s">
        <v>1505</v>
      </c>
      <c r="D477" s="75" t="s">
        <v>1506</v>
      </c>
      <c r="E477" s="75" t="s">
        <v>214</v>
      </c>
      <c r="F477" s="78" t="n">
        <v>13300000</v>
      </c>
      <c r="G477" s="77" t="s">
        <v>100</v>
      </c>
      <c r="H477" s="75" t="s">
        <v>131</v>
      </c>
      <c r="I477" s="75" t="s">
        <v>160</v>
      </c>
      <c r="J477" s="77" t="s">
        <v>112</v>
      </c>
      <c r="K477" s="75" t="s">
        <v>104</v>
      </c>
      <c r="L477" s="76" t="n">
        <v>45539</v>
      </c>
      <c r="M477" s="76" t="n">
        <v>46190</v>
      </c>
      <c r="N477" s="79" t="n">
        <v>5</v>
      </c>
      <c r="O477" s="75" t="s">
        <v>113</v>
      </c>
      <c r="P477" s="77"/>
    </row>
    <row r="478" customFormat="false" ht="15" hidden="false" customHeight="true" outlineLevel="0" collapsed="false">
      <c r="A478" s="70" t="s">
        <v>1507</v>
      </c>
      <c r="B478" s="71" t="n">
        <v>45630</v>
      </c>
      <c r="C478" s="72" t="s">
        <v>308</v>
      </c>
      <c r="D478" s="70" t="s">
        <v>1508</v>
      </c>
      <c r="E478" s="70" t="s">
        <v>214</v>
      </c>
      <c r="F478" s="73" t="n">
        <v>15800000</v>
      </c>
      <c r="G478" s="72" t="s">
        <v>195</v>
      </c>
      <c r="H478" s="70" t="s">
        <v>174</v>
      </c>
      <c r="I478" s="70" t="s">
        <v>137</v>
      </c>
      <c r="J478" s="72" t="s">
        <v>170</v>
      </c>
      <c r="K478" s="70" t="s">
        <v>104</v>
      </c>
      <c r="L478" s="71" t="n">
        <v>45635</v>
      </c>
      <c r="M478" s="71" t="n">
        <v>46196</v>
      </c>
      <c r="N478" s="74" t="n">
        <v>-1</v>
      </c>
      <c r="O478" s="70" t="s">
        <v>95</v>
      </c>
      <c r="P478" s="72"/>
    </row>
    <row r="479" customFormat="false" ht="15" hidden="false" customHeight="true" outlineLevel="0" collapsed="false">
      <c r="A479" s="75" t="s">
        <v>1509</v>
      </c>
      <c r="B479" s="76" t="n">
        <v>45650</v>
      </c>
      <c r="C479" s="77" t="s">
        <v>1510</v>
      </c>
      <c r="D479" s="75" t="s">
        <v>1511</v>
      </c>
      <c r="E479" s="75" t="s">
        <v>147</v>
      </c>
      <c r="F479" s="78" t="n">
        <v>6700000</v>
      </c>
      <c r="G479" s="77" t="s">
        <v>109</v>
      </c>
      <c r="H479" s="75" t="s">
        <v>91</v>
      </c>
      <c r="I479" s="75" t="s">
        <v>119</v>
      </c>
      <c r="J479" s="77" t="s">
        <v>191</v>
      </c>
      <c r="K479" s="75" t="s">
        <v>94</v>
      </c>
      <c r="L479" s="76" t="n">
        <v>45651</v>
      </c>
      <c r="M479" s="76" t="n">
        <v>46187</v>
      </c>
      <c r="N479" s="79" t="n">
        <v>8</v>
      </c>
      <c r="O479" s="75" t="s">
        <v>113</v>
      </c>
      <c r="P479" s="77"/>
    </row>
    <row r="480" customFormat="false" ht="15" hidden="false" customHeight="true" outlineLevel="0" collapsed="false">
      <c r="A480" s="70" t="s">
        <v>1512</v>
      </c>
      <c r="B480" s="71" t="n">
        <v>45542</v>
      </c>
      <c r="C480" s="72" t="s">
        <v>1002</v>
      </c>
      <c r="D480" s="70" t="s">
        <v>1513</v>
      </c>
      <c r="E480" s="70" t="s">
        <v>165</v>
      </c>
      <c r="F480" s="73" t="n">
        <v>4700000</v>
      </c>
      <c r="G480" s="72" t="s">
        <v>166</v>
      </c>
      <c r="H480" s="70" t="s">
        <v>118</v>
      </c>
      <c r="I480" s="70" t="s">
        <v>137</v>
      </c>
      <c r="J480" s="72" t="s">
        <v>112</v>
      </c>
      <c r="K480" s="70" t="s">
        <v>120</v>
      </c>
      <c r="L480" s="71" t="n">
        <v>45544</v>
      </c>
      <c r="M480" s="71" t="n">
        <v>46203</v>
      </c>
      <c r="N480" s="74" t="n">
        <v>-8</v>
      </c>
      <c r="O480" s="70" t="s">
        <v>95</v>
      </c>
      <c r="P480" s="72"/>
    </row>
    <row r="481" customFormat="false" ht="15" hidden="false" customHeight="true" outlineLevel="0" collapsed="false">
      <c r="A481" s="75" t="s">
        <v>1514</v>
      </c>
      <c r="B481" s="76" t="n">
        <v>45523</v>
      </c>
      <c r="C481" s="77" t="s">
        <v>1515</v>
      </c>
      <c r="D481" s="75" t="s">
        <v>1516</v>
      </c>
      <c r="E481" s="75" t="s">
        <v>147</v>
      </c>
      <c r="F481" s="78" t="n">
        <v>14800000</v>
      </c>
      <c r="G481" s="77" t="s">
        <v>130</v>
      </c>
      <c r="H481" s="75" t="s">
        <v>174</v>
      </c>
      <c r="I481" s="75" t="s">
        <v>102</v>
      </c>
      <c r="J481" s="77" t="s">
        <v>112</v>
      </c>
      <c r="K481" s="75" t="s">
        <v>120</v>
      </c>
      <c r="L481" s="76" t="n">
        <v>45524</v>
      </c>
      <c r="M481" s="76" t="n">
        <v>46183</v>
      </c>
      <c r="N481" s="79" t="n">
        <v>12</v>
      </c>
      <c r="O481" s="75" t="s">
        <v>113</v>
      </c>
      <c r="P481" s="77"/>
    </row>
    <row r="482" customFormat="false" ht="15" hidden="false" customHeight="true" outlineLevel="0" collapsed="false">
      <c r="A482" s="70" t="s">
        <v>1517</v>
      </c>
      <c r="B482" s="71" t="n">
        <v>45528</v>
      </c>
      <c r="C482" s="72" t="s">
        <v>1518</v>
      </c>
      <c r="D482" s="70" t="s">
        <v>1519</v>
      </c>
      <c r="E482" s="70" t="s">
        <v>99</v>
      </c>
      <c r="F482" s="73" t="n">
        <v>18700000</v>
      </c>
      <c r="G482" s="72" t="s">
        <v>130</v>
      </c>
      <c r="H482" s="70" t="s">
        <v>101</v>
      </c>
      <c r="I482" s="70" t="s">
        <v>111</v>
      </c>
      <c r="J482" s="72" t="s">
        <v>170</v>
      </c>
      <c r="K482" s="70" t="s">
        <v>205</v>
      </c>
      <c r="L482" s="71" t="n">
        <v>45533</v>
      </c>
      <c r="M482" s="71" t="n">
        <v>45535</v>
      </c>
      <c r="N482" s="74" t="n">
        <v>660</v>
      </c>
      <c r="O482" s="70" t="s">
        <v>113</v>
      </c>
      <c r="P482" s="72"/>
    </row>
    <row r="483" customFormat="false" ht="15" hidden="false" customHeight="true" outlineLevel="0" collapsed="false">
      <c r="A483" s="75" t="s">
        <v>1520</v>
      </c>
      <c r="B483" s="76" t="n">
        <v>45408</v>
      </c>
      <c r="C483" s="77" t="s">
        <v>807</v>
      </c>
      <c r="D483" s="75" t="s">
        <v>1521</v>
      </c>
      <c r="E483" s="75" t="s">
        <v>165</v>
      </c>
      <c r="F483" s="78" t="n">
        <v>4800000</v>
      </c>
      <c r="G483" s="77" t="s">
        <v>166</v>
      </c>
      <c r="H483" s="75" t="s">
        <v>118</v>
      </c>
      <c r="I483" s="75" t="s">
        <v>102</v>
      </c>
      <c r="J483" s="77" t="s">
        <v>142</v>
      </c>
      <c r="K483" s="75" t="s">
        <v>205</v>
      </c>
      <c r="L483" s="76" t="n">
        <v>45409</v>
      </c>
      <c r="M483" s="76" t="n">
        <v>45413</v>
      </c>
      <c r="N483" s="79" t="n">
        <v>782</v>
      </c>
      <c r="O483" s="75" t="s">
        <v>113</v>
      </c>
      <c r="P483" s="77"/>
    </row>
    <row r="484" customFormat="false" ht="15" hidden="false" customHeight="true" outlineLevel="0" collapsed="false">
      <c r="A484" s="70" t="s">
        <v>1522</v>
      </c>
      <c r="B484" s="71" t="n">
        <v>45656</v>
      </c>
      <c r="C484" s="72" t="s">
        <v>1523</v>
      </c>
      <c r="D484" s="70" t="s">
        <v>1524</v>
      </c>
      <c r="E484" s="70" t="s">
        <v>129</v>
      </c>
      <c r="F484" s="73" t="n">
        <v>19000000</v>
      </c>
      <c r="G484" s="72" t="s">
        <v>166</v>
      </c>
      <c r="H484" s="70" t="s">
        <v>101</v>
      </c>
      <c r="I484" s="70" t="s">
        <v>111</v>
      </c>
      <c r="J484" s="72" t="s">
        <v>209</v>
      </c>
      <c r="K484" s="70" t="s">
        <v>125</v>
      </c>
      <c r="L484" s="71" t="n">
        <v>45657</v>
      </c>
      <c r="M484" s="71" t="n">
        <v>45661</v>
      </c>
      <c r="N484" s="74" t="n">
        <v>534</v>
      </c>
      <c r="O484" s="70" t="s">
        <v>113</v>
      </c>
      <c r="P484" s="72"/>
    </row>
    <row r="485" customFormat="false" ht="15" hidden="false" customHeight="true" outlineLevel="0" collapsed="false">
      <c r="A485" s="75" t="s">
        <v>1525</v>
      </c>
      <c r="B485" s="76" t="n">
        <v>45456</v>
      </c>
      <c r="C485" s="77" t="s">
        <v>1526</v>
      </c>
      <c r="D485" s="75" t="s">
        <v>1527</v>
      </c>
      <c r="E485" s="75" t="s">
        <v>141</v>
      </c>
      <c r="F485" s="78" t="n">
        <v>13400000</v>
      </c>
      <c r="G485" s="77" t="s">
        <v>166</v>
      </c>
      <c r="H485" s="75" t="s">
        <v>131</v>
      </c>
      <c r="I485" s="75" t="s">
        <v>119</v>
      </c>
      <c r="J485" s="77" t="s">
        <v>124</v>
      </c>
      <c r="K485" s="75" t="s">
        <v>205</v>
      </c>
      <c r="L485" s="76" t="n">
        <v>45461</v>
      </c>
      <c r="M485" s="76" t="n">
        <v>45464</v>
      </c>
      <c r="N485" s="79" t="n">
        <v>731</v>
      </c>
      <c r="O485" s="75" t="s">
        <v>113</v>
      </c>
      <c r="P485" s="77"/>
    </row>
    <row r="486" customFormat="false" ht="15" hidden="false" customHeight="true" outlineLevel="0" collapsed="false">
      <c r="A486" s="70" t="s">
        <v>1528</v>
      </c>
      <c r="B486" s="71" t="n">
        <v>45440</v>
      </c>
      <c r="C486" s="72" t="s">
        <v>798</v>
      </c>
      <c r="D486" s="70" t="s">
        <v>1529</v>
      </c>
      <c r="E486" s="70" t="s">
        <v>89</v>
      </c>
      <c r="F486" s="73" t="n">
        <v>13300000</v>
      </c>
      <c r="G486" s="72" t="s">
        <v>130</v>
      </c>
      <c r="H486" s="70" t="s">
        <v>131</v>
      </c>
      <c r="I486" s="70" t="s">
        <v>119</v>
      </c>
      <c r="J486" s="72" t="s">
        <v>178</v>
      </c>
      <c r="K486" s="70" t="s">
        <v>120</v>
      </c>
      <c r="L486" s="71" t="n">
        <v>45443</v>
      </c>
      <c r="M486" s="71" t="n">
        <v>46213</v>
      </c>
      <c r="N486" s="74" t="n">
        <v>-18</v>
      </c>
      <c r="O486" s="70" t="s">
        <v>95</v>
      </c>
      <c r="P486" s="72"/>
    </row>
    <row r="487" customFormat="false" ht="15" hidden="false" customHeight="true" outlineLevel="0" collapsed="false">
      <c r="A487" s="75" t="s">
        <v>1530</v>
      </c>
      <c r="B487" s="76" t="n">
        <v>45715</v>
      </c>
      <c r="C487" s="77" t="s">
        <v>1531</v>
      </c>
      <c r="D487" s="75" t="s">
        <v>1532</v>
      </c>
      <c r="E487" s="75" t="s">
        <v>117</v>
      </c>
      <c r="F487" s="78" t="n">
        <v>16900000</v>
      </c>
      <c r="G487" s="77" t="s">
        <v>109</v>
      </c>
      <c r="H487" s="75" t="s">
        <v>101</v>
      </c>
      <c r="I487" s="75" t="s">
        <v>119</v>
      </c>
      <c r="J487" s="77" t="s">
        <v>93</v>
      </c>
      <c r="K487" s="75" t="s">
        <v>104</v>
      </c>
      <c r="L487" s="76" t="n">
        <v>45716</v>
      </c>
      <c r="M487" s="76" t="n">
        <v>46196</v>
      </c>
      <c r="N487" s="79" t="n">
        <v>-1</v>
      </c>
      <c r="O487" s="75" t="s">
        <v>95</v>
      </c>
      <c r="P487" s="77"/>
    </row>
    <row r="488" customFormat="false" ht="15" hidden="false" customHeight="true" outlineLevel="0" collapsed="false">
      <c r="A488" s="70" t="s">
        <v>1533</v>
      </c>
      <c r="B488" s="71" t="n">
        <v>45579</v>
      </c>
      <c r="C488" s="72" t="s">
        <v>1534</v>
      </c>
      <c r="D488" s="70" t="s">
        <v>1535</v>
      </c>
      <c r="E488" s="70" t="s">
        <v>136</v>
      </c>
      <c r="F488" s="73" t="n">
        <v>18000000</v>
      </c>
      <c r="G488" s="72" t="s">
        <v>100</v>
      </c>
      <c r="H488" s="70" t="s">
        <v>101</v>
      </c>
      <c r="I488" s="70" t="s">
        <v>137</v>
      </c>
      <c r="J488" s="72" t="s">
        <v>170</v>
      </c>
      <c r="K488" s="70" t="s">
        <v>205</v>
      </c>
      <c r="L488" s="71" t="n">
        <v>45580</v>
      </c>
      <c r="M488" s="71" t="n">
        <v>45583</v>
      </c>
      <c r="N488" s="74" t="n">
        <v>612</v>
      </c>
      <c r="O488" s="70" t="s">
        <v>113</v>
      </c>
      <c r="P488" s="72"/>
    </row>
    <row r="489" customFormat="false" ht="15" hidden="false" customHeight="true" outlineLevel="0" collapsed="false">
      <c r="A489" s="75" t="s">
        <v>1536</v>
      </c>
      <c r="B489" s="76" t="n">
        <v>45422</v>
      </c>
      <c r="C489" s="77" t="s">
        <v>1537</v>
      </c>
      <c r="D489" s="75" t="s">
        <v>1538</v>
      </c>
      <c r="E489" s="75" t="s">
        <v>117</v>
      </c>
      <c r="F489" s="78" t="n">
        <v>21800000</v>
      </c>
      <c r="G489" s="77" t="s">
        <v>130</v>
      </c>
      <c r="H489" s="75" t="s">
        <v>101</v>
      </c>
      <c r="I489" s="75" t="s">
        <v>92</v>
      </c>
      <c r="J489" s="77" t="s">
        <v>170</v>
      </c>
      <c r="K489" s="75" t="s">
        <v>94</v>
      </c>
      <c r="L489" s="76" t="n">
        <v>45427</v>
      </c>
      <c r="M489" s="76" t="n">
        <v>46202</v>
      </c>
      <c r="N489" s="79" t="n">
        <v>-7</v>
      </c>
      <c r="O489" s="75" t="s">
        <v>95</v>
      </c>
      <c r="P489" s="77"/>
    </row>
    <row r="490" customFormat="false" ht="15" hidden="false" customHeight="true" outlineLevel="0" collapsed="false">
      <c r="A490" s="70" t="s">
        <v>1539</v>
      </c>
      <c r="B490" s="71" t="n">
        <v>45438</v>
      </c>
      <c r="C490" s="72" t="s">
        <v>1540</v>
      </c>
      <c r="D490" s="70" t="s">
        <v>1541</v>
      </c>
      <c r="E490" s="70" t="s">
        <v>165</v>
      </c>
      <c r="F490" s="73" t="n">
        <v>12700000</v>
      </c>
      <c r="G490" s="72" t="s">
        <v>159</v>
      </c>
      <c r="H490" s="70" t="s">
        <v>174</v>
      </c>
      <c r="I490" s="70" t="s">
        <v>111</v>
      </c>
      <c r="J490" s="72" t="s">
        <v>191</v>
      </c>
      <c r="K490" s="70" t="s">
        <v>120</v>
      </c>
      <c r="L490" s="71" t="n">
        <v>45443</v>
      </c>
      <c r="M490" s="71" t="n">
        <v>46207</v>
      </c>
      <c r="N490" s="74" t="n">
        <v>-12</v>
      </c>
      <c r="O490" s="70" t="s">
        <v>95</v>
      </c>
      <c r="P490" s="72"/>
    </row>
    <row r="491" customFormat="false" ht="15" hidden="false" customHeight="true" outlineLevel="0" collapsed="false">
      <c r="A491" s="75" t="s">
        <v>1542</v>
      </c>
      <c r="B491" s="76" t="n">
        <v>45721</v>
      </c>
      <c r="C491" s="77" t="s">
        <v>222</v>
      </c>
      <c r="D491" s="75" t="s">
        <v>1543</v>
      </c>
      <c r="E491" s="75" t="s">
        <v>99</v>
      </c>
      <c r="F491" s="78" t="n">
        <v>21300000</v>
      </c>
      <c r="G491" s="77" t="s">
        <v>109</v>
      </c>
      <c r="H491" s="75" t="s">
        <v>101</v>
      </c>
      <c r="I491" s="75" t="s">
        <v>160</v>
      </c>
      <c r="J491" s="77" t="s">
        <v>178</v>
      </c>
      <c r="K491" s="75" t="s">
        <v>125</v>
      </c>
      <c r="L491" s="76" t="n">
        <v>45723</v>
      </c>
      <c r="M491" s="76" t="n">
        <v>45727</v>
      </c>
      <c r="N491" s="79" t="n">
        <v>468</v>
      </c>
      <c r="O491" s="75" t="s">
        <v>113</v>
      </c>
      <c r="P491" s="77"/>
    </row>
    <row r="492" customFormat="false" ht="15" hidden="false" customHeight="true" outlineLevel="0" collapsed="false">
      <c r="A492" s="70" t="s">
        <v>1544</v>
      </c>
      <c r="B492" s="71" t="n">
        <v>45538</v>
      </c>
      <c r="C492" s="72" t="s">
        <v>603</v>
      </c>
      <c r="D492" s="70" t="s">
        <v>1545</v>
      </c>
      <c r="E492" s="70" t="s">
        <v>117</v>
      </c>
      <c r="F492" s="73" t="n">
        <v>7400000</v>
      </c>
      <c r="G492" s="72" t="s">
        <v>166</v>
      </c>
      <c r="H492" s="70" t="s">
        <v>91</v>
      </c>
      <c r="I492" s="70" t="s">
        <v>85</v>
      </c>
      <c r="J492" s="72" t="s">
        <v>209</v>
      </c>
      <c r="K492" s="70" t="s">
        <v>104</v>
      </c>
      <c r="L492" s="71" t="n">
        <v>45542</v>
      </c>
      <c r="M492" s="71" t="n">
        <v>46209</v>
      </c>
      <c r="N492" s="74" t="n">
        <v>-14</v>
      </c>
      <c r="O492" s="70" t="s">
        <v>95</v>
      </c>
      <c r="P492" s="72" t="s">
        <v>448</v>
      </c>
    </row>
    <row r="493" customFormat="false" ht="15" hidden="false" customHeight="true" outlineLevel="0" collapsed="false">
      <c r="A493" s="75" t="s">
        <v>1546</v>
      </c>
      <c r="B493" s="76" t="n">
        <v>45410</v>
      </c>
      <c r="C493" s="77" t="s">
        <v>1547</v>
      </c>
      <c r="D493" s="75" t="s">
        <v>1548</v>
      </c>
      <c r="E493" s="75" t="s">
        <v>147</v>
      </c>
      <c r="F493" s="78" t="n">
        <v>7700000</v>
      </c>
      <c r="G493" s="77" t="s">
        <v>186</v>
      </c>
      <c r="H493" s="75" t="s">
        <v>91</v>
      </c>
      <c r="I493" s="75" t="s">
        <v>102</v>
      </c>
      <c r="J493" s="77" t="s">
        <v>209</v>
      </c>
      <c r="K493" s="75" t="s">
        <v>205</v>
      </c>
      <c r="L493" s="76" t="n">
        <v>45411</v>
      </c>
      <c r="M493" s="76" t="n">
        <v>45416</v>
      </c>
      <c r="N493" s="79" t="n">
        <v>779</v>
      </c>
      <c r="O493" s="75" t="s">
        <v>113</v>
      </c>
      <c r="P493" s="77"/>
    </row>
    <row r="494" customFormat="false" ht="15" hidden="false" customHeight="true" outlineLevel="0" collapsed="false">
      <c r="A494" s="70" t="s">
        <v>1549</v>
      </c>
      <c r="B494" s="71" t="n">
        <v>45578</v>
      </c>
      <c r="C494" s="72" t="s">
        <v>1064</v>
      </c>
      <c r="D494" s="70" t="s">
        <v>1550</v>
      </c>
      <c r="E494" s="70" t="s">
        <v>108</v>
      </c>
      <c r="F494" s="73" t="n">
        <v>14900000</v>
      </c>
      <c r="G494" s="72" t="s">
        <v>100</v>
      </c>
      <c r="H494" s="70" t="s">
        <v>174</v>
      </c>
      <c r="I494" s="70" t="s">
        <v>137</v>
      </c>
      <c r="J494" s="72" t="s">
        <v>191</v>
      </c>
      <c r="K494" s="70" t="s">
        <v>94</v>
      </c>
      <c r="L494" s="71" t="n">
        <v>45582</v>
      </c>
      <c r="M494" s="71" t="n">
        <v>46199</v>
      </c>
      <c r="N494" s="74" t="n">
        <v>-4</v>
      </c>
      <c r="O494" s="70" t="s">
        <v>95</v>
      </c>
      <c r="P494" s="72"/>
    </row>
    <row r="495" customFormat="false" ht="15" hidden="false" customHeight="true" outlineLevel="0" collapsed="false">
      <c r="A495" s="75" t="s">
        <v>1551</v>
      </c>
      <c r="B495" s="76" t="n">
        <v>45461</v>
      </c>
      <c r="C495" s="77" t="s">
        <v>1552</v>
      </c>
      <c r="D495" s="75" t="s">
        <v>1553</v>
      </c>
      <c r="E495" s="75" t="s">
        <v>214</v>
      </c>
      <c r="F495" s="78" t="n">
        <v>8800000</v>
      </c>
      <c r="G495" s="77" t="s">
        <v>109</v>
      </c>
      <c r="H495" s="75" t="s">
        <v>91</v>
      </c>
      <c r="I495" s="75" t="s">
        <v>119</v>
      </c>
      <c r="J495" s="77" t="s">
        <v>209</v>
      </c>
      <c r="K495" s="75" t="s">
        <v>125</v>
      </c>
      <c r="L495" s="76" t="n">
        <v>45464</v>
      </c>
      <c r="M495" s="76" t="n">
        <v>45466</v>
      </c>
      <c r="N495" s="79" t="n">
        <v>729</v>
      </c>
      <c r="O495" s="75" t="s">
        <v>113</v>
      </c>
      <c r="P495" s="77"/>
    </row>
    <row r="496" customFormat="false" ht="15" hidden="false" customHeight="true" outlineLevel="0" collapsed="false">
      <c r="A496" s="70" t="s">
        <v>1554</v>
      </c>
      <c r="B496" s="71" t="n">
        <v>45595</v>
      </c>
      <c r="C496" s="72" t="s">
        <v>1555</v>
      </c>
      <c r="D496" s="70" t="s">
        <v>1556</v>
      </c>
      <c r="E496" s="70" t="s">
        <v>129</v>
      </c>
      <c r="F496" s="73" t="n">
        <v>29300000</v>
      </c>
      <c r="G496" s="72" t="s">
        <v>166</v>
      </c>
      <c r="H496" s="70" t="s">
        <v>110</v>
      </c>
      <c r="I496" s="70" t="s">
        <v>92</v>
      </c>
      <c r="J496" s="72" t="s">
        <v>93</v>
      </c>
      <c r="K496" s="70" t="s">
        <v>120</v>
      </c>
      <c r="L496" s="71" t="n">
        <v>45599</v>
      </c>
      <c r="M496" s="71" t="n">
        <v>46210</v>
      </c>
      <c r="N496" s="74" t="n">
        <v>-15</v>
      </c>
      <c r="O496" s="70" t="s">
        <v>95</v>
      </c>
      <c r="P496" s="72"/>
    </row>
    <row r="497" customFormat="false" ht="15" hidden="false" customHeight="true" outlineLevel="0" collapsed="false">
      <c r="A497" s="75" t="s">
        <v>1557</v>
      </c>
      <c r="B497" s="76" t="n">
        <v>45386</v>
      </c>
      <c r="C497" s="77" t="s">
        <v>1558</v>
      </c>
      <c r="D497" s="75" t="s">
        <v>1559</v>
      </c>
      <c r="E497" s="75" t="s">
        <v>136</v>
      </c>
      <c r="F497" s="78" t="n">
        <v>13500000</v>
      </c>
      <c r="G497" s="77" t="s">
        <v>166</v>
      </c>
      <c r="H497" s="75" t="s">
        <v>174</v>
      </c>
      <c r="I497" s="75" t="s">
        <v>92</v>
      </c>
      <c r="J497" s="77" t="s">
        <v>170</v>
      </c>
      <c r="K497" s="75" t="s">
        <v>143</v>
      </c>
      <c r="L497" s="76" t="n">
        <v>45391</v>
      </c>
      <c r="M497" s="76" t="n">
        <v>46202</v>
      </c>
      <c r="N497" s="79" t="n">
        <v>-7</v>
      </c>
      <c r="O497" s="75" t="s">
        <v>95</v>
      </c>
      <c r="P497" s="77"/>
    </row>
    <row r="498" customFormat="false" ht="15" hidden="false" customHeight="true" outlineLevel="0" collapsed="false">
      <c r="A498" s="70" t="s">
        <v>1560</v>
      </c>
      <c r="B498" s="71" t="n">
        <v>45440</v>
      </c>
      <c r="C498" s="72" t="s">
        <v>1201</v>
      </c>
      <c r="D498" s="70" t="s">
        <v>1561</v>
      </c>
      <c r="E498" s="70" t="s">
        <v>136</v>
      </c>
      <c r="F498" s="73" t="n">
        <v>4600000</v>
      </c>
      <c r="G498" s="72" t="s">
        <v>130</v>
      </c>
      <c r="H498" s="70" t="s">
        <v>118</v>
      </c>
      <c r="I498" s="70" t="s">
        <v>137</v>
      </c>
      <c r="J498" s="72" t="s">
        <v>142</v>
      </c>
      <c r="K498" s="70" t="s">
        <v>94</v>
      </c>
      <c r="L498" s="71" t="n">
        <v>45445</v>
      </c>
      <c r="M498" s="71" t="n">
        <v>46202</v>
      </c>
      <c r="N498" s="74" t="n">
        <v>-7</v>
      </c>
      <c r="O498" s="70" t="s">
        <v>95</v>
      </c>
      <c r="P498" s="72"/>
    </row>
    <row r="499" customFormat="false" ht="15" hidden="false" customHeight="true" outlineLevel="0" collapsed="false">
      <c r="A499" s="75" t="s">
        <v>1562</v>
      </c>
      <c r="B499" s="76" t="n">
        <v>45624</v>
      </c>
      <c r="C499" s="77" t="s">
        <v>1563</v>
      </c>
      <c r="D499" s="75" t="s">
        <v>1564</v>
      </c>
      <c r="E499" s="75" t="s">
        <v>239</v>
      </c>
      <c r="F499" s="78" t="n">
        <v>16700000</v>
      </c>
      <c r="G499" s="77" t="s">
        <v>166</v>
      </c>
      <c r="H499" s="75" t="s">
        <v>101</v>
      </c>
      <c r="I499" s="75" t="s">
        <v>137</v>
      </c>
      <c r="J499" s="77" t="s">
        <v>148</v>
      </c>
      <c r="K499" s="75" t="s">
        <v>120</v>
      </c>
      <c r="L499" s="76" t="n">
        <v>45625</v>
      </c>
      <c r="M499" s="76" t="n">
        <v>46202</v>
      </c>
      <c r="N499" s="79" t="n">
        <v>-7</v>
      </c>
      <c r="O499" s="75" t="s">
        <v>95</v>
      </c>
      <c r="P499" s="77"/>
    </row>
    <row r="500" customFormat="false" ht="15" hidden="false" customHeight="true" outlineLevel="0" collapsed="false">
      <c r="A500" s="70" t="s">
        <v>1565</v>
      </c>
      <c r="B500" s="71" t="n">
        <v>45598</v>
      </c>
      <c r="C500" s="72" t="s">
        <v>1566</v>
      </c>
      <c r="D500" s="70" t="s">
        <v>1567</v>
      </c>
      <c r="E500" s="70" t="s">
        <v>108</v>
      </c>
      <c r="F500" s="73" t="n">
        <v>14200000</v>
      </c>
      <c r="G500" s="72" t="s">
        <v>166</v>
      </c>
      <c r="H500" s="70" t="s">
        <v>174</v>
      </c>
      <c r="I500" s="70" t="s">
        <v>119</v>
      </c>
      <c r="J500" s="72" t="s">
        <v>148</v>
      </c>
      <c r="K500" s="70" t="s">
        <v>125</v>
      </c>
      <c r="L500" s="71" t="n">
        <v>45601</v>
      </c>
      <c r="M500" s="71" t="n">
        <v>45604</v>
      </c>
      <c r="N500" s="74" t="n">
        <v>591</v>
      </c>
      <c r="O500" s="70" t="s">
        <v>113</v>
      </c>
      <c r="P500" s="72"/>
    </row>
    <row r="501" customFormat="false" ht="15" hidden="false" customHeight="true" outlineLevel="0" collapsed="false">
      <c r="A501" s="75" t="s">
        <v>1568</v>
      </c>
      <c r="B501" s="76" t="n">
        <v>45679</v>
      </c>
      <c r="C501" s="77" t="s">
        <v>1569</v>
      </c>
      <c r="D501" s="75" t="s">
        <v>1570</v>
      </c>
      <c r="E501" s="75" t="s">
        <v>89</v>
      </c>
      <c r="F501" s="78" t="n">
        <v>31500000</v>
      </c>
      <c r="G501" s="77" t="s">
        <v>90</v>
      </c>
      <c r="H501" s="75" t="s">
        <v>110</v>
      </c>
      <c r="I501" s="75" t="s">
        <v>111</v>
      </c>
      <c r="J501" s="77" t="s">
        <v>178</v>
      </c>
      <c r="K501" s="75" t="s">
        <v>94</v>
      </c>
      <c r="L501" s="76" t="n">
        <v>45681</v>
      </c>
      <c r="M501" s="76" t="n">
        <v>46205</v>
      </c>
      <c r="N501" s="79" t="n">
        <v>-10</v>
      </c>
      <c r="O501" s="75" t="s">
        <v>95</v>
      </c>
      <c r="P501" s="77"/>
    </row>
    <row r="502" customFormat="false" ht="15" hidden="false" customHeight="true" outlineLevel="0" collapsed="false">
      <c r="A502" s="70" t="s">
        <v>1571</v>
      </c>
      <c r="B502" s="71" t="n">
        <v>45525</v>
      </c>
      <c r="C502" s="72" t="s">
        <v>1572</v>
      </c>
      <c r="D502" s="70" t="s">
        <v>1573</v>
      </c>
      <c r="E502" s="70" t="s">
        <v>108</v>
      </c>
      <c r="F502" s="73" t="n">
        <v>12300000</v>
      </c>
      <c r="G502" s="72" t="s">
        <v>90</v>
      </c>
      <c r="H502" s="70" t="s">
        <v>174</v>
      </c>
      <c r="I502" s="70" t="s">
        <v>92</v>
      </c>
      <c r="J502" s="72" t="s">
        <v>103</v>
      </c>
      <c r="K502" s="70" t="s">
        <v>120</v>
      </c>
      <c r="L502" s="71" t="n">
        <v>45528</v>
      </c>
      <c r="M502" s="71" t="n">
        <v>46191</v>
      </c>
      <c r="N502" s="74" t="n">
        <v>4</v>
      </c>
      <c r="O502" s="70" t="s">
        <v>113</v>
      </c>
      <c r="P502" s="72"/>
    </row>
    <row r="503" customFormat="false" ht="15" hidden="false" customHeight="true" outlineLevel="0" collapsed="false">
      <c r="A503" s="75" t="s">
        <v>1574</v>
      </c>
      <c r="B503" s="76" t="n">
        <v>45572</v>
      </c>
      <c r="C503" s="77" t="s">
        <v>1195</v>
      </c>
      <c r="D503" s="75" t="s">
        <v>1575</v>
      </c>
      <c r="E503" s="75" t="s">
        <v>108</v>
      </c>
      <c r="F503" s="78" t="n">
        <v>17500000</v>
      </c>
      <c r="G503" s="77" t="s">
        <v>159</v>
      </c>
      <c r="H503" s="75" t="s">
        <v>101</v>
      </c>
      <c r="I503" s="75" t="s">
        <v>137</v>
      </c>
      <c r="J503" s="77" t="s">
        <v>170</v>
      </c>
      <c r="K503" s="75" t="s">
        <v>94</v>
      </c>
      <c r="L503" s="76" t="n">
        <v>45574</v>
      </c>
      <c r="M503" s="76" t="n">
        <v>46195</v>
      </c>
      <c r="N503" s="79" t="n">
        <v>0</v>
      </c>
      <c r="O503" s="75" t="s">
        <v>551</v>
      </c>
      <c r="P503" s="77"/>
    </row>
    <row r="507" customFormat="false" ht="21.75" hidden="false" customHeight="true" outlineLevel="0" collapsed="false">
      <c r="A507" s="6" t="s">
        <v>1576</v>
      </c>
      <c r="B507" s="6"/>
      <c r="C507" s="6"/>
      <c r="D507" s="6"/>
      <c r="E507" s="6"/>
      <c r="F507" s="6"/>
      <c r="G507" s="6"/>
      <c r="H507" s="6"/>
    </row>
    <row r="508" customFormat="false" ht="19.5" hidden="false" customHeight="true" outlineLevel="0" collapsed="false">
      <c r="A508" s="80" t="s">
        <v>1577</v>
      </c>
      <c r="B508" s="80"/>
      <c r="C508" s="80" t="s">
        <v>72</v>
      </c>
      <c r="D508" s="80" t="s">
        <v>1578</v>
      </c>
      <c r="E508" s="80" t="s">
        <v>74</v>
      </c>
      <c r="F508" s="80" t="s">
        <v>76</v>
      </c>
      <c r="G508" s="80" t="s">
        <v>1579</v>
      </c>
      <c r="H508" s="80" t="s">
        <v>1580</v>
      </c>
    </row>
    <row r="509" customFormat="false" ht="21.75" hidden="false" customHeight="true" outlineLevel="0" collapsed="false">
      <c r="A509" s="81" t="s">
        <v>86</v>
      </c>
      <c r="B509" s="82" t="s">
        <v>1581</v>
      </c>
      <c r="C509" s="83" t="str">
        <f aca="false">IFERROR(xlookup($A$509,$A$4:$A$503,$C$4:$C$503,"Not Found"),"Not Found")</f>
        <v>Not Found</v>
      </c>
      <c r="D509" s="83" t="str">
        <f aca="false">IFERROR(xlookup($A$509,$A$4:$A$503,$D$4:$D$503,"Not Found"),"Not Found")</f>
        <v>Not Found</v>
      </c>
      <c r="E509" s="83" t="str">
        <f aca="false">IFERROR(xlookup($A$509,$A$4:$A$503,$E$4:$E$503,"Not Found"),"Not Found")</f>
        <v>Not Found</v>
      </c>
      <c r="F509" s="83" t="str">
        <f aca="false">IFERROR(xlookup($A$509,$A$4:$A$503,$G$4:$G$503,"Not Found"),"Not Found")</f>
        <v>Not Found</v>
      </c>
      <c r="G509" s="83" t="str">
        <f aca="false">IFERROR(xlookup($A$509,$A$4:$A$503,$K$4:$K$503,"Not Found"),"Not Found")</f>
        <v>Not Found</v>
      </c>
      <c r="H509" s="83" t="str">
        <f aca="false">IFERROR(xlookup($A$509,$A$4:$A$503,$J$4:$J$503,"Not Found"),"Not Found")</f>
        <v>Not Found</v>
      </c>
    </row>
    <row r="510" customFormat="false" ht="18" hidden="false" customHeight="true" outlineLevel="0" collapsed="false">
      <c r="A510" s="84" t="s">
        <v>1582</v>
      </c>
      <c r="B510" s="84"/>
      <c r="C510" s="84"/>
      <c r="D510" s="84"/>
      <c r="E510" s="84"/>
      <c r="F510" s="84"/>
      <c r="G510" s="84"/>
      <c r="H510" s="84"/>
    </row>
  </sheetData>
  <mergeCells count="4">
    <mergeCell ref="A1:P1"/>
    <mergeCell ref="A2:P2"/>
    <mergeCell ref="A507:H507"/>
    <mergeCell ref="A510:H510"/>
  </mergeCells>
  <conditionalFormatting sqref="K4:K503">
    <cfRule type="expression" priority="2" aboveAverage="0" equalAverage="0" bottom="0" percent="0" rank="0" text="" dxfId="0">
      <formula>K4="Booked"</formula>
    </cfRule>
    <cfRule type="expression" priority="3" aboveAverage="0" equalAverage="0" bottom="0" percent="0" rank="0" text="" dxfId="2">
      <formula>K4="Lost"</formula>
    </cfRule>
    <cfRule type="expression" priority="4" aboveAverage="0" equalAverage="0" bottom="0" percent="0" rank="0" text="" dxfId="1">
      <formula>K4="Negotiation"</formula>
    </cfRule>
    <cfRule type="expression" priority="5" aboveAverage="0" equalAverage="0" bottom="0" percent="0" rank="0" text="" dxfId="3">
      <formula>K4="New"</formula>
    </cfRule>
    <cfRule type="expression" priority="6" aboveAverage="0" equalAverage="0" bottom="0" percent="0" rank="0" text="" dxfId="4">
      <formula>K4="Follow-up"</formula>
    </cfRule>
    <cfRule type="expression" priority="7" aboveAverage="0" equalAverage="0" bottom="0" percent="0" rank="0" text="" dxfId="5">
      <formula>K4="Site Visit Scheduled"</formula>
    </cfRule>
  </conditionalFormatting>
  <conditionalFormatting sqref="O4:O503">
    <cfRule type="expression" priority="8" aboveAverage="0" equalAverage="0" bottom="0" percent="0" rank="0" text="" dxfId="2">
      <formula>N4&gt;0</formula>
    </cfRule>
    <cfRule type="expression" priority="9" aboveAverage="0" equalAverage="0" bottom="0" percent="0" rank="0" text="" dxfId="1">
      <formula>N4=0</formula>
    </cfRule>
    <cfRule type="expression" priority="10" aboveAverage="0" equalAverage="0" bottom="0" percent="0" rank="0" text="" dxfId="6">
      <formula>N4&lt;0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6" min="6" style="1" width="10"/>
    <col collapsed="false" customWidth="true" hidden="false" outlineLevel="0" max="7" min="7" style="1" width="20"/>
    <col collapsed="false" customWidth="true" hidden="false" outlineLevel="0" max="8" min="8" style="1" width="13"/>
    <col collapsed="false" customWidth="true" hidden="false" outlineLevel="0" max="10" min="9" style="1" width="18"/>
  </cols>
  <sheetData>
    <row r="1" customFormat="false" ht="31.5" hidden="false" customHeight="true" outlineLevel="0" collapsed="false">
      <c r="A1" s="68" t="s">
        <v>1583</v>
      </c>
      <c r="B1" s="68"/>
      <c r="C1" s="68"/>
      <c r="D1" s="68"/>
      <c r="E1" s="68"/>
      <c r="F1" s="68"/>
      <c r="G1" s="68"/>
      <c r="H1" s="68"/>
      <c r="I1" s="68"/>
      <c r="J1" s="68"/>
    </row>
    <row r="2" customFormat="false" ht="18" hidden="false" customHeight="true" outlineLevel="0" collapsed="false">
      <c r="A2" s="4" t="s">
        <v>1584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9.5" hidden="false" customHeight="true" outlineLevel="0" collapsed="false">
      <c r="A3" s="69" t="s">
        <v>1585</v>
      </c>
      <c r="B3" s="69" t="s">
        <v>1586</v>
      </c>
      <c r="C3" s="69" t="s">
        <v>1587</v>
      </c>
      <c r="D3" s="69" t="s">
        <v>1588</v>
      </c>
      <c r="E3" s="69" t="s">
        <v>1589</v>
      </c>
      <c r="F3" s="69" t="s">
        <v>1590</v>
      </c>
      <c r="G3" s="69" t="s">
        <v>1591</v>
      </c>
      <c r="H3" s="69" t="s">
        <v>1592</v>
      </c>
      <c r="I3" s="69" t="s">
        <v>1593</v>
      </c>
      <c r="J3" s="69" t="s">
        <v>1594</v>
      </c>
    </row>
    <row r="4" customFormat="false" ht="15" hidden="false" customHeight="true" outlineLevel="0" collapsed="false">
      <c r="A4" s="85" t="n">
        <f aca="false">IFERROR(RANK(G4,G$4:G$13,0),"-")</f>
        <v>7</v>
      </c>
      <c r="B4" s="86" t="s">
        <v>178</v>
      </c>
      <c r="C4" s="87" t="n">
        <f aca="false">COUNTIFS('Lead Management'!$J$4:$J$503,B4)</f>
        <v>39</v>
      </c>
      <c r="D4" s="88" t="n">
        <f aca="false">ROUND(C4*4.2,0)</f>
        <v>164</v>
      </c>
      <c r="E4" s="87" t="n">
        <f aca="false">COUNTIFS('Lead Management'!$J$4:$J$503,B4,'Lead Management'!$K$4:$K$503,"Site Visit Completed")+COUNTIFS('Lead Management'!$J$4:$J$503,B4,'Lead Management'!$K$4:$K$503,"Booked")+COUNTIFS('Lead Management'!$J$4:$J$503,B4,'Lead Management'!$K$4:$K$503,"Negotiation")</f>
        <v>18</v>
      </c>
      <c r="F4" s="87" t="n">
        <f aca="false">COUNTIFS('Lead Management'!$J$4:$J$503,B4,'Lead Management'!$K$4:$K$503,"Booked")</f>
        <v>6</v>
      </c>
      <c r="G4" s="89" t="n">
        <f aca="false">SUMIFS('Booking Management'!$E$4:$E$200,'Booking Management'!$H$4:$H$200,B4)</f>
        <v>85990000</v>
      </c>
      <c r="H4" s="90" t="n">
        <f aca="false">IFERROR(F4/C4,0)</f>
        <v>0.153846153846154</v>
      </c>
      <c r="I4" s="89" t="n">
        <f aca="false">IFERROR(G4/F4,0)</f>
        <v>14331666.6666667</v>
      </c>
      <c r="J4" s="91" t="str">
        <f aca="false">IF(H4&gt;=0.25,"⭐ Star",IF(H4&gt;=0.15,"✅ Good",IF(H4&gt;=0.08,"⚠ Average","❌ Below Target")))</f>
        <v>✅ Good</v>
      </c>
    </row>
    <row r="5" customFormat="false" ht="15" hidden="false" customHeight="true" outlineLevel="0" collapsed="false">
      <c r="A5" s="92" t="n">
        <f aca="false">IFERROR(RANK(G5,G$4:G$13,0),"-")</f>
        <v>2</v>
      </c>
      <c r="B5" s="93" t="s">
        <v>93</v>
      </c>
      <c r="C5" s="88" t="n">
        <f aca="false">COUNTIFS('Lead Management'!$J$4:$J$503,B5)</f>
        <v>48</v>
      </c>
      <c r="D5" s="87" t="n">
        <f aca="false">ROUND(C5*3.8,0)</f>
        <v>182</v>
      </c>
      <c r="E5" s="88" t="n">
        <f aca="false">COUNTIFS('Lead Management'!$J$4:$J$503,B5,'Lead Management'!$K$4:$K$503,"Site Visit Completed")+COUNTIFS('Lead Management'!$J$4:$J$503,B5,'Lead Management'!$K$4:$K$503,"Booked")+COUNTIFS('Lead Management'!$J$4:$J$503,B5,'Lead Management'!$K$4:$K$503,"Negotiation")</f>
        <v>18</v>
      </c>
      <c r="F5" s="88" t="n">
        <f aca="false">COUNTIFS('Lead Management'!$J$4:$J$503,B5,'Lead Management'!$K$4:$K$503,"Booked")</f>
        <v>11</v>
      </c>
      <c r="G5" s="94" t="n">
        <f aca="false">SUMIFS('Booking Management'!$E$4:$E$200,'Booking Management'!$H$4:$H$200,B5)</f>
        <v>181730000</v>
      </c>
      <c r="H5" s="95" t="n">
        <f aca="false">IFERROR(F5/C5,0)</f>
        <v>0.229166666666667</v>
      </c>
      <c r="I5" s="94" t="n">
        <f aca="false">IFERROR(G5/F5,0)</f>
        <v>16520909.0909091</v>
      </c>
      <c r="J5" s="96" t="str">
        <f aca="false">IF(H5&gt;=0.25,"⭐ Star",IF(H5&gt;=0.15,"✅ Good",IF(H5&gt;=0.08,"⚠ Average","❌ Below Target")))</f>
        <v>✅ Good</v>
      </c>
    </row>
    <row r="6" customFormat="false" ht="15" hidden="false" customHeight="true" outlineLevel="0" collapsed="false">
      <c r="A6" s="85" t="n">
        <f aca="false">IFERROR(RANK(G6,G$4:G$13,0),"-")</f>
        <v>9</v>
      </c>
      <c r="B6" s="86" t="s">
        <v>170</v>
      </c>
      <c r="C6" s="87" t="n">
        <f aca="false">COUNTIFS('Lead Management'!$J$4:$J$503,B6)</f>
        <v>52</v>
      </c>
      <c r="D6" s="88" t="n">
        <f aca="false">ROUND(C6*4.5,0)</f>
        <v>234</v>
      </c>
      <c r="E6" s="87" t="n">
        <f aca="false">COUNTIFS('Lead Management'!$J$4:$J$503,B6,'Lead Management'!$K$4:$K$503,"Site Visit Completed")+COUNTIFS('Lead Management'!$J$4:$J$503,B6,'Lead Management'!$K$4:$K$503,"Booked")+COUNTIFS('Lead Management'!$J$4:$J$503,B6,'Lead Management'!$K$4:$K$503,"Negotiation")</f>
        <v>22</v>
      </c>
      <c r="F6" s="87" t="n">
        <f aca="false">COUNTIFS('Lead Management'!$J$4:$J$503,B6,'Lead Management'!$K$4:$K$503,"Booked")</f>
        <v>6</v>
      </c>
      <c r="G6" s="89" t="n">
        <f aca="false">SUMIFS('Booking Management'!$E$4:$E$200,'Booking Management'!$H$4:$H$200,B6)</f>
        <v>70510000</v>
      </c>
      <c r="H6" s="90" t="n">
        <f aca="false">IFERROR(F6/C6,0)</f>
        <v>0.115384615384615</v>
      </c>
      <c r="I6" s="89" t="n">
        <f aca="false">IFERROR(G6/F6,0)</f>
        <v>11751666.6666667</v>
      </c>
      <c r="J6" s="91" t="str">
        <f aca="false">IF(H6&gt;=0.25,"⭐ Star",IF(H6&gt;=0.15,"✅ Good",IF(H6&gt;=0.08,"⚠ Average","❌ Below Target")))</f>
        <v>⚠ Average</v>
      </c>
    </row>
    <row r="7" customFormat="false" ht="15" hidden="false" customHeight="true" outlineLevel="0" collapsed="false">
      <c r="A7" s="92" t="n">
        <f aca="false">IFERROR(RANK(G7,G$4:G$13,0),"-")</f>
        <v>1</v>
      </c>
      <c r="B7" s="93" t="s">
        <v>124</v>
      </c>
      <c r="C7" s="88" t="n">
        <f aca="false">COUNTIFS('Lead Management'!$J$4:$J$503,B7)</f>
        <v>57</v>
      </c>
      <c r="D7" s="87" t="n">
        <f aca="false">ROUND(C7*3.6,0)</f>
        <v>205</v>
      </c>
      <c r="E7" s="88" t="n">
        <f aca="false">COUNTIFS('Lead Management'!$J$4:$J$503,B7,'Lead Management'!$K$4:$K$503,"Site Visit Completed")+COUNTIFS('Lead Management'!$J$4:$J$503,B7,'Lead Management'!$K$4:$K$503,"Booked")+COUNTIFS('Lead Management'!$J$4:$J$503,B7,'Lead Management'!$K$4:$K$503,"Negotiation")</f>
        <v>38</v>
      </c>
      <c r="F7" s="88" t="n">
        <f aca="false">COUNTIFS('Lead Management'!$J$4:$J$503,B7,'Lead Management'!$K$4:$K$503,"Booked")</f>
        <v>14</v>
      </c>
      <c r="G7" s="94" t="n">
        <f aca="false">SUMIFS('Booking Management'!$E$4:$E$200,'Booking Management'!$H$4:$H$200,B7)</f>
        <v>188760000</v>
      </c>
      <c r="H7" s="95" t="n">
        <f aca="false">IFERROR(F7/C7,0)</f>
        <v>0.245614035087719</v>
      </c>
      <c r="I7" s="94" t="n">
        <f aca="false">IFERROR(G7/F7,0)</f>
        <v>13482857.1428571</v>
      </c>
      <c r="J7" s="96" t="str">
        <f aca="false">IF(H7&gt;=0.25,"⭐ Star",IF(H7&gt;=0.15,"✅ Good",IF(H7&gt;=0.08,"⚠ Average","❌ Below Target")))</f>
        <v>✅ Good</v>
      </c>
    </row>
    <row r="8" customFormat="false" ht="15" hidden="false" customHeight="true" outlineLevel="0" collapsed="false">
      <c r="A8" s="85" t="n">
        <f aca="false">IFERROR(RANK(G8,G$4:G$13,0),"-")</f>
        <v>4</v>
      </c>
      <c r="B8" s="86" t="s">
        <v>112</v>
      </c>
      <c r="C8" s="87" t="n">
        <f aca="false">COUNTIFS('Lead Management'!$J$4:$J$503,B8)</f>
        <v>61</v>
      </c>
      <c r="D8" s="88" t="n">
        <f aca="false">ROUND(C8*4.1,0)</f>
        <v>250</v>
      </c>
      <c r="E8" s="87" t="n">
        <f aca="false">COUNTIFS('Lead Management'!$J$4:$J$503,B8,'Lead Management'!$K$4:$K$503,"Site Visit Completed")+COUNTIFS('Lead Management'!$J$4:$J$503,B8,'Lead Management'!$K$4:$K$503,"Booked")+COUNTIFS('Lead Management'!$J$4:$J$503,B8,'Lead Management'!$K$4:$K$503,"Negotiation")</f>
        <v>28</v>
      </c>
      <c r="F8" s="87" t="n">
        <f aca="false">COUNTIFS('Lead Management'!$J$4:$J$503,B8,'Lead Management'!$K$4:$K$503,"Booked")</f>
        <v>12</v>
      </c>
      <c r="G8" s="89" t="n">
        <f aca="false">SUMIFS('Booking Management'!$E$4:$E$200,'Booking Management'!$H$4:$H$200,B8)</f>
        <v>174890000</v>
      </c>
      <c r="H8" s="90" t="n">
        <f aca="false">IFERROR(F8/C8,0)</f>
        <v>0.19672131147541</v>
      </c>
      <c r="I8" s="89" t="n">
        <f aca="false">IFERROR(G8/F8,0)</f>
        <v>14574166.6666667</v>
      </c>
      <c r="J8" s="91" t="str">
        <f aca="false">IF(H8&gt;=0.25,"⭐ Star",IF(H8&gt;=0.15,"✅ Good",IF(H8&gt;=0.08,"⚠ Average","❌ Below Target")))</f>
        <v>✅ Good</v>
      </c>
    </row>
    <row r="9" customFormat="false" ht="15" hidden="false" customHeight="true" outlineLevel="0" collapsed="false">
      <c r="A9" s="92" t="n">
        <f aca="false">IFERROR(RANK(G9,G$4:G$13,0),"-")</f>
        <v>3</v>
      </c>
      <c r="B9" s="93" t="s">
        <v>209</v>
      </c>
      <c r="C9" s="88" t="n">
        <f aca="false">COUNTIFS('Lead Management'!$J$4:$J$503,B9)</f>
        <v>49</v>
      </c>
      <c r="D9" s="87" t="n">
        <f aca="false">ROUND(C9*3.9,0)</f>
        <v>191</v>
      </c>
      <c r="E9" s="88" t="n">
        <f aca="false">COUNTIFS('Lead Management'!$J$4:$J$503,B9,'Lead Management'!$K$4:$K$503,"Site Visit Completed")+COUNTIFS('Lead Management'!$J$4:$J$503,B9,'Lead Management'!$K$4:$K$503,"Booked")+COUNTIFS('Lead Management'!$J$4:$J$503,B9,'Lead Management'!$K$4:$K$503,"Negotiation")</f>
        <v>24</v>
      </c>
      <c r="F9" s="88" t="n">
        <f aca="false">COUNTIFS('Lead Management'!$J$4:$J$503,B9,'Lead Management'!$K$4:$K$503,"Booked")</f>
        <v>14</v>
      </c>
      <c r="G9" s="94" t="n">
        <f aca="false">SUMIFS('Booking Management'!$E$4:$E$200,'Booking Management'!$H$4:$H$200,B9)</f>
        <v>179070000</v>
      </c>
      <c r="H9" s="95" t="n">
        <f aca="false">IFERROR(F9/C9,0)</f>
        <v>0.285714285714286</v>
      </c>
      <c r="I9" s="94" t="n">
        <f aca="false">IFERROR(G9/F9,0)</f>
        <v>12790714.2857143</v>
      </c>
      <c r="J9" s="96" t="str">
        <f aca="false">IF(H9&gt;=0.25,"⭐ Star",IF(H9&gt;=0.15,"✅ Good",IF(H9&gt;=0.08,"⚠ Average","❌ Below Target")))</f>
        <v>⭐ Star</v>
      </c>
    </row>
    <row r="10" customFormat="false" ht="15" hidden="false" customHeight="true" outlineLevel="0" collapsed="false">
      <c r="A10" s="85" t="n">
        <f aca="false">IFERROR(RANK(G10,G$4:G$13,0),"-")</f>
        <v>6</v>
      </c>
      <c r="B10" s="86" t="s">
        <v>191</v>
      </c>
      <c r="C10" s="87" t="n">
        <f aca="false">COUNTIFS('Lead Management'!$J$4:$J$503,B10)</f>
        <v>39</v>
      </c>
      <c r="D10" s="88" t="n">
        <f aca="false">ROUND(C10*4.3,0)</f>
        <v>168</v>
      </c>
      <c r="E10" s="87" t="n">
        <f aca="false">COUNTIFS('Lead Management'!$J$4:$J$503,B10,'Lead Management'!$K$4:$K$503,"Site Visit Completed")+COUNTIFS('Lead Management'!$J$4:$J$503,B10,'Lead Management'!$K$4:$K$503,"Booked")+COUNTIFS('Lead Management'!$J$4:$J$503,B10,'Lead Management'!$K$4:$K$503,"Negotiation")</f>
        <v>18</v>
      </c>
      <c r="F10" s="87" t="n">
        <f aca="false">COUNTIFS('Lead Management'!$J$4:$J$503,B10,'Lead Management'!$K$4:$K$503,"Booked")</f>
        <v>4</v>
      </c>
      <c r="G10" s="89" t="n">
        <f aca="false">SUMIFS('Booking Management'!$E$4:$E$200,'Booking Management'!$H$4:$H$200,B10)</f>
        <v>88960000</v>
      </c>
      <c r="H10" s="90" t="n">
        <f aca="false">IFERROR(F10/C10,0)</f>
        <v>0.102564102564103</v>
      </c>
      <c r="I10" s="89" t="n">
        <f aca="false">IFERROR(G10/F10,0)</f>
        <v>22240000</v>
      </c>
      <c r="J10" s="91" t="str">
        <f aca="false">IF(H10&gt;=0.25,"⭐ Star",IF(H10&gt;=0.15,"✅ Good",IF(H10&gt;=0.08,"⚠ Average","❌ Below Target")))</f>
        <v>⚠ Average</v>
      </c>
    </row>
    <row r="11" customFormat="false" ht="15" hidden="false" customHeight="true" outlineLevel="0" collapsed="false">
      <c r="A11" s="92" t="n">
        <f aca="false">IFERROR(RANK(G11,G$4:G$13,0),"-")</f>
        <v>10</v>
      </c>
      <c r="B11" s="93" t="s">
        <v>142</v>
      </c>
      <c r="C11" s="88" t="n">
        <f aca="false">COUNTIFS('Lead Management'!$J$4:$J$503,B11)</f>
        <v>43</v>
      </c>
      <c r="D11" s="87" t="n">
        <f aca="false">ROUND(C11*3.7,0)</f>
        <v>159</v>
      </c>
      <c r="E11" s="88" t="n">
        <f aca="false">COUNTIFS('Lead Management'!$J$4:$J$503,B11,'Lead Management'!$K$4:$K$503,"Site Visit Completed")+COUNTIFS('Lead Management'!$J$4:$J$503,B11,'Lead Management'!$K$4:$K$503,"Booked")+COUNTIFS('Lead Management'!$J$4:$J$503,B11,'Lead Management'!$K$4:$K$503,"Negotiation")</f>
        <v>14</v>
      </c>
      <c r="F11" s="88" t="n">
        <f aca="false">COUNTIFS('Lead Management'!$J$4:$J$503,B11,'Lead Management'!$K$4:$K$503,"Booked")</f>
        <v>4</v>
      </c>
      <c r="G11" s="94" t="n">
        <f aca="false">SUMIFS('Booking Management'!$E$4:$E$200,'Booking Management'!$H$4:$H$200,B11)</f>
        <v>42830000</v>
      </c>
      <c r="H11" s="95" t="n">
        <f aca="false">IFERROR(F11/C11,0)</f>
        <v>0.0930232558139535</v>
      </c>
      <c r="I11" s="94" t="n">
        <f aca="false">IFERROR(G11/F11,0)</f>
        <v>10707500</v>
      </c>
      <c r="J11" s="96" t="str">
        <f aca="false">IF(H11&gt;=0.25,"⭐ Star",IF(H11&gt;=0.15,"✅ Good",IF(H11&gt;=0.08,"⚠ Average","❌ Below Target")))</f>
        <v>⚠ Average</v>
      </c>
    </row>
    <row r="12" customFormat="false" ht="15" hidden="false" customHeight="true" outlineLevel="0" collapsed="false">
      <c r="A12" s="85" t="n">
        <f aca="false">IFERROR(RANK(G12,G$4:G$13,0),"-")</f>
        <v>5</v>
      </c>
      <c r="B12" s="86" t="s">
        <v>103</v>
      </c>
      <c r="C12" s="87" t="n">
        <f aca="false">COUNTIFS('Lead Management'!$J$4:$J$503,B12)</f>
        <v>55</v>
      </c>
      <c r="D12" s="88" t="n">
        <f aca="false">ROUND(C12*4,0)</f>
        <v>220</v>
      </c>
      <c r="E12" s="87" t="n">
        <f aca="false">COUNTIFS('Lead Management'!$J$4:$J$503,B12,'Lead Management'!$K$4:$K$503,"Site Visit Completed")+COUNTIFS('Lead Management'!$J$4:$J$503,B12,'Lead Management'!$K$4:$K$503,"Booked")+COUNTIFS('Lead Management'!$J$4:$J$503,B12,'Lead Management'!$K$4:$K$503,"Negotiation")</f>
        <v>19</v>
      </c>
      <c r="F12" s="87" t="n">
        <f aca="false">COUNTIFS('Lead Management'!$J$4:$J$503,B12,'Lead Management'!$K$4:$K$503,"Booked")</f>
        <v>7</v>
      </c>
      <c r="G12" s="89" t="n">
        <f aca="false">SUMIFS('Booking Management'!$E$4:$E$200,'Booking Management'!$H$4:$H$200,B12)</f>
        <v>132620000</v>
      </c>
      <c r="H12" s="90" t="n">
        <f aca="false">IFERROR(F12/C12,0)</f>
        <v>0.127272727272727</v>
      </c>
      <c r="I12" s="89" t="n">
        <f aca="false">IFERROR(G12/F12,0)</f>
        <v>18945714.2857143</v>
      </c>
      <c r="J12" s="91" t="str">
        <f aca="false">IF(H12&gt;=0.25,"⭐ Star",IF(H12&gt;=0.15,"✅ Good",IF(H12&gt;=0.08,"⚠ Average","❌ Below Target")))</f>
        <v>⚠ Average</v>
      </c>
    </row>
    <row r="13" customFormat="false" ht="15" hidden="false" customHeight="true" outlineLevel="0" collapsed="false">
      <c r="A13" s="92" t="n">
        <f aca="false">IFERROR(RANK(G13,G$4:G$13,0),"-")</f>
        <v>8</v>
      </c>
      <c r="B13" s="93" t="s">
        <v>148</v>
      </c>
      <c r="C13" s="88" t="n">
        <f aca="false">COUNTIFS('Lead Management'!$J$4:$J$503,B13)</f>
        <v>57</v>
      </c>
      <c r="D13" s="87" t="n">
        <f aca="false">ROUND(C13*4.4,0)</f>
        <v>251</v>
      </c>
      <c r="E13" s="88" t="n">
        <f aca="false">COUNTIFS('Lead Management'!$J$4:$J$503,B13,'Lead Management'!$K$4:$K$503,"Site Visit Completed")+COUNTIFS('Lead Management'!$J$4:$J$503,B13,'Lead Management'!$K$4:$K$503,"Booked")+COUNTIFS('Lead Management'!$J$4:$J$503,B13,'Lead Management'!$K$4:$K$503,"Negotiation")</f>
        <v>21</v>
      </c>
      <c r="F13" s="88" t="n">
        <f aca="false">COUNTIFS('Lead Management'!$J$4:$J$503,B13,'Lead Management'!$K$4:$K$503,"Booked")</f>
        <v>7</v>
      </c>
      <c r="G13" s="94" t="n">
        <f aca="false">SUMIFS('Booking Management'!$E$4:$E$200,'Booking Management'!$H$4:$H$200,B13)</f>
        <v>81280000</v>
      </c>
      <c r="H13" s="95" t="n">
        <f aca="false">IFERROR(F13/C13,0)</f>
        <v>0.12280701754386</v>
      </c>
      <c r="I13" s="94" t="n">
        <f aca="false">IFERROR(G13/F13,0)</f>
        <v>11611428.5714286</v>
      </c>
      <c r="J13" s="96" t="str">
        <f aca="false">IF(H13&gt;=0.25,"⭐ Star",IF(H13&gt;=0.15,"✅ Good",IF(H13&gt;=0.08,"⚠ Average","❌ Below Target")))</f>
        <v>⚠ Average</v>
      </c>
    </row>
    <row r="15" customFormat="false" ht="15" hidden="false" customHeight="true" outlineLevel="0" collapsed="false">
      <c r="A15" s="97" t="s">
        <v>1595</v>
      </c>
      <c r="B15" s="97"/>
      <c r="C15" s="98" t="n">
        <f aca="false">SUM(C4:C13)</f>
        <v>500</v>
      </c>
      <c r="D15" s="98" t="n">
        <f aca="false">SUM(D4:D13)</f>
        <v>2024</v>
      </c>
      <c r="E15" s="98" t="n">
        <f aca="false">SUM(E4:E13)</f>
        <v>220</v>
      </c>
      <c r="F15" s="98" t="n">
        <f aca="false">SUM(F4:F13)</f>
        <v>85</v>
      </c>
      <c r="G15" s="99" t="n">
        <f aca="false">SUM(G4:G13)</f>
        <v>1226640000</v>
      </c>
      <c r="H15" s="100" t="n">
        <f aca="false">IFERROR(F15/C15,0)</f>
        <v>0.17</v>
      </c>
      <c r="I15" s="99" t="n">
        <f aca="false">IFERROR(G15/F15,0)</f>
        <v>14431058.8235294</v>
      </c>
      <c r="J15" s="101"/>
    </row>
    <row r="18" customFormat="false" ht="21.75" hidden="false" customHeight="true" outlineLevel="0" collapsed="false">
      <c r="A18" s="102" t="s">
        <v>1596</v>
      </c>
      <c r="B18" s="102"/>
      <c r="C18" s="102"/>
      <c r="D18" s="102"/>
      <c r="E18" s="102"/>
      <c r="F18" s="102"/>
      <c r="G18" s="102"/>
      <c r="H18" s="102"/>
      <c r="I18" s="102"/>
      <c r="J18" s="102"/>
    </row>
    <row r="19" customFormat="false" ht="19.5" hidden="false" customHeight="true" outlineLevel="0" collapsed="false">
      <c r="B19" s="80" t="s">
        <v>1597</v>
      </c>
      <c r="C19" s="80" t="s">
        <v>1598</v>
      </c>
      <c r="D19" s="80" t="s">
        <v>1599</v>
      </c>
      <c r="E19" s="80" t="s">
        <v>1589</v>
      </c>
      <c r="F19" s="80" t="s">
        <v>1590</v>
      </c>
      <c r="G19" s="80" t="s">
        <v>1591</v>
      </c>
      <c r="H19" s="80" t="s">
        <v>1600</v>
      </c>
      <c r="I19" s="80" t="s">
        <v>1601</v>
      </c>
      <c r="J19" s="80" t="s">
        <v>1594</v>
      </c>
    </row>
    <row r="20" customFormat="false" ht="21.75" hidden="false" customHeight="true" outlineLevel="0" collapsed="false">
      <c r="B20" s="103" t="s">
        <v>178</v>
      </c>
      <c r="C20" s="104" t="n">
        <f aca="false">IFERROR(INDEX(C$4:C$13,MATCH($B$20,$B$4:$B$13,0)),"—")</f>
        <v>39</v>
      </c>
      <c r="D20" s="104" t="n">
        <f aca="false">IFERROR(INDEX(D$4:D$13,MATCH($B$20,$B$4:$B$13,0)),"—")</f>
        <v>164</v>
      </c>
      <c r="E20" s="104" t="n">
        <f aca="false">IFERROR(INDEX(E$4:E$13,MATCH($B$20,$B$4:$B$13,0)),"—")</f>
        <v>18</v>
      </c>
      <c r="F20" s="104" t="n">
        <f aca="false">IFERROR(INDEX(F$4:F$13,MATCH($B$20,$B$4:$B$13,0)),"—")</f>
        <v>6</v>
      </c>
      <c r="G20" s="105" t="n">
        <f aca="false">IFERROR(INDEX(G$4:G$13,MATCH($B$20,$B$4:$B$13,0)),"—")</f>
        <v>85990000</v>
      </c>
      <c r="H20" s="106" t="n">
        <f aca="false">IFERROR(INDEX(H$4:H$13,MATCH($B$20,$B$4:$B$13,0)),"—")</f>
        <v>0.153846153846154</v>
      </c>
      <c r="I20" s="105" t="n">
        <f aca="false">IFERROR(INDEX(I$4:I$13,MATCH($B$20,$B$4:$B$13,0)),"—")</f>
        <v>14331666.6666667</v>
      </c>
      <c r="J20" s="107" t="str">
        <f aca="false">IFERROR(INDEX(J$4:J$13,MATCH($B$20,$B$4:$B$13,0)),"—")</f>
        <v>✅ Good</v>
      </c>
    </row>
    <row r="21" customFormat="false" ht="18" hidden="false" customHeight="true" outlineLevel="0" collapsed="false">
      <c r="A21" s="84" t="s">
        <v>1602</v>
      </c>
      <c r="B21" s="84"/>
      <c r="C21" s="84"/>
      <c r="D21" s="84"/>
      <c r="E21" s="84"/>
      <c r="F21" s="84"/>
      <c r="G21" s="84"/>
      <c r="H21" s="84"/>
      <c r="I21" s="84"/>
      <c r="J21" s="84"/>
    </row>
  </sheetData>
  <mergeCells count="5">
    <mergeCell ref="A1:J1"/>
    <mergeCell ref="A2:J2"/>
    <mergeCell ref="A15:B15"/>
    <mergeCell ref="A18:J18"/>
    <mergeCell ref="A21:J21"/>
  </mergeCells>
  <conditionalFormatting sqref="H4:H13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G4:G13">
    <cfRule type="colorScale" priority="3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9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6" min="5" style="1" width="18"/>
    <col collapsed="false" customWidth="true" hidden="false" outlineLevel="0" max="7" min="7" style="1" width="13"/>
    <col collapsed="false" customWidth="true" hidden="false" outlineLevel="0" max="8" min="8" style="1" width="22"/>
    <col collapsed="false" customWidth="true" hidden="false" outlineLevel="0" max="9" min="9" style="1" width="13"/>
    <col collapsed="false" customWidth="true" hidden="false" outlineLevel="0" max="10" min="10" style="1" width="16"/>
    <col collapsed="false" customWidth="true" hidden="false" outlineLevel="0" max="11" min="11" style="1" width="24"/>
  </cols>
  <sheetData>
    <row r="1" customFormat="false" ht="31.5" hidden="false" customHeight="true" outlineLevel="0" collapsed="false">
      <c r="A1" s="68" t="s">
        <v>1603</v>
      </c>
      <c r="B1" s="68"/>
      <c r="C1" s="68"/>
      <c r="D1" s="68"/>
      <c r="E1" s="68"/>
      <c r="F1" s="68"/>
      <c r="G1" s="68"/>
      <c r="H1" s="68"/>
      <c r="I1" s="68"/>
      <c r="J1" s="68"/>
    </row>
    <row r="2" customFormat="false" ht="18" hidden="false" customHeight="true" outlineLevel="0" collapsed="false">
      <c r="A2" s="4" t="s">
        <v>1604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9.5" hidden="false" customHeight="true" outlineLevel="0" collapsed="false">
      <c r="A3" s="69" t="s">
        <v>1605</v>
      </c>
      <c r="B3" s="69" t="s">
        <v>72</v>
      </c>
      <c r="C3" s="69" t="s">
        <v>76</v>
      </c>
      <c r="D3" s="69" t="s">
        <v>77</v>
      </c>
      <c r="E3" s="69" t="s">
        <v>1606</v>
      </c>
      <c r="F3" s="69" t="s">
        <v>1607</v>
      </c>
      <c r="G3" s="69" t="s">
        <v>1608</v>
      </c>
      <c r="H3" s="69" t="s">
        <v>1580</v>
      </c>
      <c r="I3" s="69" t="s">
        <v>74</v>
      </c>
      <c r="J3" s="69" t="s">
        <v>78</v>
      </c>
      <c r="K3" s="108" t="s">
        <v>85</v>
      </c>
    </row>
    <row r="4" customFormat="false" ht="15" hidden="false" customHeight="true" outlineLevel="0" collapsed="false">
      <c r="A4" s="70" t="s">
        <v>1609</v>
      </c>
      <c r="B4" s="72" t="s">
        <v>122</v>
      </c>
      <c r="C4" s="72" t="s">
        <v>100</v>
      </c>
      <c r="D4" s="70" t="s">
        <v>110</v>
      </c>
      <c r="E4" s="109" t="n">
        <v>30140000</v>
      </c>
      <c r="F4" s="109" t="n">
        <v>2629000</v>
      </c>
      <c r="G4" s="71" t="n">
        <v>45471</v>
      </c>
      <c r="H4" s="72" t="s">
        <v>124</v>
      </c>
      <c r="I4" s="70" t="s">
        <v>117</v>
      </c>
      <c r="J4" s="70" t="s">
        <v>102</v>
      </c>
      <c r="K4" s="110"/>
    </row>
    <row r="5" customFormat="false" ht="15" hidden="false" customHeight="true" outlineLevel="0" collapsed="false">
      <c r="A5" s="75" t="s">
        <v>1610</v>
      </c>
      <c r="B5" s="77" t="s">
        <v>222</v>
      </c>
      <c r="C5" s="77" t="s">
        <v>186</v>
      </c>
      <c r="D5" s="75" t="s">
        <v>131</v>
      </c>
      <c r="E5" s="111" t="n">
        <v>12380000</v>
      </c>
      <c r="F5" s="111" t="n">
        <v>1478000</v>
      </c>
      <c r="G5" s="76" t="n">
        <v>45733</v>
      </c>
      <c r="H5" s="77" t="s">
        <v>209</v>
      </c>
      <c r="I5" s="75" t="s">
        <v>155</v>
      </c>
      <c r="J5" s="75" t="s">
        <v>102</v>
      </c>
      <c r="K5" s="112"/>
    </row>
    <row r="6" customFormat="false" ht="15" hidden="false" customHeight="true" outlineLevel="0" collapsed="false">
      <c r="A6" s="70" t="s">
        <v>1611</v>
      </c>
      <c r="B6" s="72" t="s">
        <v>231</v>
      </c>
      <c r="C6" s="72" t="s">
        <v>109</v>
      </c>
      <c r="D6" s="70" t="s">
        <v>110</v>
      </c>
      <c r="E6" s="109" t="n">
        <v>35790000</v>
      </c>
      <c r="F6" s="109" t="n">
        <v>3084000</v>
      </c>
      <c r="G6" s="71" t="n">
        <v>45556</v>
      </c>
      <c r="H6" s="72" t="s">
        <v>191</v>
      </c>
      <c r="I6" s="70" t="s">
        <v>108</v>
      </c>
      <c r="J6" s="70" t="s">
        <v>160</v>
      </c>
      <c r="K6" s="110"/>
    </row>
    <row r="7" customFormat="false" ht="15" hidden="false" customHeight="true" outlineLevel="0" collapsed="false">
      <c r="A7" s="75" t="s">
        <v>1612</v>
      </c>
      <c r="B7" s="77" t="s">
        <v>234</v>
      </c>
      <c r="C7" s="77" t="s">
        <v>100</v>
      </c>
      <c r="D7" s="75" t="s">
        <v>91</v>
      </c>
      <c r="E7" s="111" t="n">
        <v>8230000</v>
      </c>
      <c r="F7" s="111" t="n">
        <v>912000</v>
      </c>
      <c r="G7" s="76" t="n">
        <v>45529</v>
      </c>
      <c r="H7" s="77" t="s">
        <v>112</v>
      </c>
      <c r="I7" s="75" t="s">
        <v>214</v>
      </c>
      <c r="J7" s="75" t="s">
        <v>111</v>
      </c>
      <c r="K7" s="112"/>
    </row>
    <row r="8" customFormat="false" ht="15" hidden="false" customHeight="true" outlineLevel="0" collapsed="false">
      <c r="A8" s="70" t="s">
        <v>1613</v>
      </c>
      <c r="B8" s="72" t="s">
        <v>242</v>
      </c>
      <c r="C8" s="72" t="s">
        <v>195</v>
      </c>
      <c r="D8" s="70" t="s">
        <v>118</v>
      </c>
      <c r="E8" s="109" t="n">
        <v>5200000</v>
      </c>
      <c r="F8" s="109" t="n">
        <v>460000</v>
      </c>
      <c r="G8" s="71" t="n">
        <v>45580</v>
      </c>
      <c r="H8" s="72" t="s">
        <v>209</v>
      </c>
      <c r="I8" s="70" t="s">
        <v>239</v>
      </c>
      <c r="J8" s="70" t="s">
        <v>119</v>
      </c>
      <c r="K8" s="110"/>
    </row>
    <row r="9" customFormat="false" ht="15" hidden="false" customHeight="true" outlineLevel="0" collapsed="false">
      <c r="A9" s="75" t="s">
        <v>1614</v>
      </c>
      <c r="B9" s="77" t="s">
        <v>281</v>
      </c>
      <c r="C9" s="77" t="s">
        <v>195</v>
      </c>
      <c r="D9" s="75" t="s">
        <v>118</v>
      </c>
      <c r="E9" s="111" t="n">
        <v>5610000</v>
      </c>
      <c r="F9" s="111" t="n">
        <v>618000</v>
      </c>
      <c r="G9" s="76" t="n">
        <v>45498</v>
      </c>
      <c r="H9" s="77" t="s">
        <v>170</v>
      </c>
      <c r="I9" s="75" t="s">
        <v>136</v>
      </c>
      <c r="J9" s="75" t="s">
        <v>119</v>
      </c>
      <c r="K9" s="112"/>
    </row>
    <row r="10" customFormat="false" ht="15" hidden="false" customHeight="true" outlineLevel="0" collapsed="false">
      <c r="A10" s="70" t="s">
        <v>1615</v>
      </c>
      <c r="B10" s="72" t="s">
        <v>290</v>
      </c>
      <c r="C10" s="72" t="s">
        <v>159</v>
      </c>
      <c r="D10" s="70" t="s">
        <v>101</v>
      </c>
      <c r="E10" s="109" t="n">
        <v>19890000</v>
      </c>
      <c r="F10" s="109" t="n">
        <v>1908000</v>
      </c>
      <c r="G10" s="71" t="n">
        <v>45502</v>
      </c>
      <c r="H10" s="72" t="s">
        <v>112</v>
      </c>
      <c r="I10" s="70" t="s">
        <v>155</v>
      </c>
      <c r="J10" s="70" t="s">
        <v>119</v>
      </c>
      <c r="K10" s="110"/>
    </row>
    <row r="11" customFormat="false" ht="15" hidden="false" customHeight="true" outlineLevel="0" collapsed="false">
      <c r="A11" s="75" t="s">
        <v>1616</v>
      </c>
      <c r="B11" s="77" t="s">
        <v>106</v>
      </c>
      <c r="C11" s="77" t="s">
        <v>100</v>
      </c>
      <c r="D11" s="75" t="s">
        <v>118</v>
      </c>
      <c r="E11" s="111" t="n">
        <v>6730000</v>
      </c>
      <c r="F11" s="111" t="n">
        <v>601000</v>
      </c>
      <c r="G11" s="76" t="n">
        <v>45732</v>
      </c>
      <c r="H11" s="77" t="s">
        <v>124</v>
      </c>
      <c r="I11" s="75" t="s">
        <v>165</v>
      </c>
      <c r="J11" s="75" t="s">
        <v>119</v>
      </c>
      <c r="K11" s="112"/>
    </row>
    <row r="12" customFormat="false" ht="15" hidden="false" customHeight="true" outlineLevel="0" collapsed="false">
      <c r="A12" s="70" t="s">
        <v>1617</v>
      </c>
      <c r="B12" s="72" t="s">
        <v>353</v>
      </c>
      <c r="C12" s="72" t="s">
        <v>130</v>
      </c>
      <c r="D12" s="70" t="s">
        <v>131</v>
      </c>
      <c r="E12" s="109" t="n">
        <v>13480000</v>
      </c>
      <c r="F12" s="109" t="n">
        <v>1220000</v>
      </c>
      <c r="G12" s="71" t="n">
        <v>45431</v>
      </c>
      <c r="H12" s="72" t="s">
        <v>191</v>
      </c>
      <c r="I12" s="70" t="s">
        <v>141</v>
      </c>
      <c r="J12" s="70" t="s">
        <v>102</v>
      </c>
      <c r="K12" s="110"/>
    </row>
    <row r="13" customFormat="false" ht="15" hidden="false" customHeight="true" outlineLevel="0" collapsed="false">
      <c r="A13" s="75" t="s">
        <v>1618</v>
      </c>
      <c r="B13" s="77" t="s">
        <v>364</v>
      </c>
      <c r="C13" s="77" t="s">
        <v>100</v>
      </c>
      <c r="D13" s="75" t="s">
        <v>101</v>
      </c>
      <c r="E13" s="111" t="n">
        <v>16100000</v>
      </c>
      <c r="F13" s="111" t="n">
        <v>1474000</v>
      </c>
      <c r="G13" s="76" t="n">
        <v>45567</v>
      </c>
      <c r="H13" s="77" t="s">
        <v>170</v>
      </c>
      <c r="I13" s="75" t="s">
        <v>136</v>
      </c>
      <c r="J13" s="75" t="s">
        <v>85</v>
      </c>
      <c r="K13" s="112" t="s">
        <v>210</v>
      </c>
    </row>
    <row r="14" customFormat="false" ht="15" hidden="false" customHeight="true" outlineLevel="0" collapsed="false">
      <c r="A14" s="70" t="s">
        <v>1619</v>
      </c>
      <c r="B14" s="72" t="s">
        <v>370</v>
      </c>
      <c r="C14" s="72" t="s">
        <v>186</v>
      </c>
      <c r="D14" s="70" t="s">
        <v>91</v>
      </c>
      <c r="E14" s="109" t="n">
        <v>7820000</v>
      </c>
      <c r="F14" s="109" t="n">
        <v>926000</v>
      </c>
      <c r="G14" s="71" t="n">
        <v>45636</v>
      </c>
      <c r="H14" s="72" t="s">
        <v>209</v>
      </c>
      <c r="I14" s="70" t="s">
        <v>117</v>
      </c>
      <c r="J14" s="70" t="s">
        <v>102</v>
      </c>
      <c r="K14" s="110"/>
    </row>
    <row r="15" customFormat="false" ht="15" hidden="false" customHeight="true" outlineLevel="0" collapsed="false">
      <c r="A15" s="75" t="s">
        <v>1620</v>
      </c>
      <c r="B15" s="77" t="s">
        <v>376</v>
      </c>
      <c r="C15" s="77" t="s">
        <v>90</v>
      </c>
      <c r="D15" s="75" t="s">
        <v>131</v>
      </c>
      <c r="E15" s="111" t="n">
        <v>10320000</v>
      </c>
      <c r="F15" s="111" t="n">
        <v>1204000</v>
      </c>
      <c r="G15" s="76" t="n">
        <v>45711</v>
      </c>
      <c r="H15" s="77" t="s">
        <v>93</v>
      </c>
      <c r="I15" s="75" t="s">
        <v>214</v>
      </c>
      <c r="J15" s="75" t="s">
        <v>85</v>
      </c>
      <c r="K15" s="112" t="s">
        <v>301</v>
      </c>
    </row>
    <row r="16" customFormat="false" ht="15" hidden="false" customHeight="true" outlineLevel="0" collapsed="false">
      <c r="A16" s="70" t="s">
        <v>1621</v>
      </c>
      <c r="B16" s="72" t="s">
        <v>379</v>
      </c>
      <c r="C16" s="72" t="s">
        <v>100</v>
      </c>
      <c r="D16" s="70" t="s">
        <v>110</v>
      </c>
      <c r="E16" s="109" t="n">
        <v>36160000</v>
      </c>
      <c r="F16" s="109" t="n">
        <v>3517000</v>
      </c>
      <c r="G16" s="71" t="n">
        <v>45661</v>
      </c>
      <c r="H16" s="72" t="s">
        <v>124</v>
      </c>
      <c r="I16" s="70" t="s">
        <v>141</v>
      </c>
      <c r="J16" s="70" t="s">
        <v>111</v>
      </c>
      <c r="K16" s="110"/>
    </row>
    <row r="17" customFormat="false" ht="15" hidden="false" customHeight="true" outlineLevel="0" collapsed="false">
      <c r="A17" s="75" t="s">
        <v>1622</v>
      </c>
      <c r="B17" s="77" t="s">
        <v>432</v>
      </c>
      <c r="C17" s="77" t="s">
        <v>166</v>
      </c>
      <c r="D17" s="75" t="s">
        <v>101</v>
      </c>
      <c r="E17" s="111" t="n">
        <v>18810000</v>
      </c>
      <c r="F17" s="111" t="n">
        <v>1708000</v>
      </c>
      <c r="G17" s="76" t="n">
        <v>45741</v>
      </c>
      <c r="H17" s="77" t="s">
        <v>178</v>
      </c>
      <c r="I17" s="75" t="s">
        <v>141</v>
      </c>
      <c r="J17" s="75" t="s">
        <v>137</v>
      </c>
      <c r="K17" s="112"/>
    </row>
    <row r="18" customFormat="false" ht="15" hidden="false" customHeight="true" outlineLevel="0" collapsed="false">
      <c r="A18" s="70" t="s">
        <v>1623</v>
      </c>
      <c r="B18" s="72" t="s">
        <v>440</v>
      </c>
      <c r="C18" s="72" t="s">
        <v>159</v>
      </c>
      <c r="D18" s="70" t="s">
        <v>110</v>
      </c>
      <c r="E18" s="109" t="n">
        <v>31800000</v>
      </c>
      <c r="F18" s="109" t="n">
        <v>3042000</v>
      </c>
      <c r="G18" s="71" t="n">
        <v>45551</v>
      </c>
      <c r="H18" s="72" t="s">
        <v>103</v>
      </c>
      <c r="I18" s="70" t="s">
        <v>136</v>
      </c>
      <c r="J18" s="70" t="s">
        <v>160</v>
      </c>
      <c r="K18" s="110"/>
    </row>
    <row r="19" customFormat="false" ht="15" hidden="false" customHeight="true" outlineLevel="0" collapsed="false">
      <c r="A19" s="75" t="s">
        <v>1624</v>
      </c>
      <c r="B19" s="77" t="s">
        <v>446</v>
      </c>
      <c r="C19" s="77" t="s">
        <v>159</v>
      </c>
      <c r="D19" s="75" t="s">
        <v>174</v>
      </c>
      <c r="E19" s="111" t="n">
        <v>13640000</v>
      </c>
      <c r="F19" s="111" t="n">
        <v>1375000</v>
      </c>
      <c r="G19" s="76" t="n">
        <v>45725</v>
      </c>
      <c r="H19" s="77" t="s">
        <v>209</v>
      </c>
      <c r="I19" s="75" t="s">
        <v>141</v>
      </c>
      <c r="J19" s="75" t="s">
        <v>85</v>
      </c>
      <c r="K19" s="112" t="s">
        <v>448</v>
      </c>
    </row>
    <row r="20" customFormat="false" ht="15" hidden="false" customHeight="true" outlineLevel="0" collapsed="false">
      <c r="A20" s="70" t="s">
        <v>1625</v>
      </c>
      <c r="B20" s="72" t="s">
        <v>459</v>
      </c>
      <c r="C20" s="72" t="s">
        <v>109</v>
      </c>
      <c r="D20" s="70" t="s">
        <v>110</v>
      </c>
      <c r="E20" s="109" t="n">
        <v>25020000</v>
      </c>
      <c r="F20" s="109" t="n">
        <v>2315000</v>
      </c>
      <c r="G20" s="71" t="n">
        <v>45508</v>
      </c>
      <c r="H20" s="72" t="s">
        <v>93</v>
      </c>
      <c r="I20" s="70" t="s">
        <v>141</v>
      </c>
      <c r="J20" s="70" t="s">
        <v>102</v>
      </c>
      <c r="K20" s="110"/>
    </row>
    <row r="21" customFormat="false" ht="15" hidden="false" customHeight="true" outlineLevel="0" collapsed="false">
      <c r="A21" s="75" t="s">
        <v>1626</v>
      </c>
      <c r="B21" s="77" t="s">
        <v>474</v>
      </c>
      <c r="C21" s="77" t="s">
        <v>195</v>
      </c>
      <c r="D21" s="75" t="s">
        <v>174</v>
      </c>
      <c r="E21" s="111" t="n">
        <v>12570000</v>
      </c>
      <c r="F21" s="111" t="n">
        <v>1012000</v>
      </c>
      <c r="G21" s="76" t="n">
        <v>45698</v>
      </c>
      <c r="H21" s="77" t="s">
        <v>93</v>
      </c>
      <c r="I21" s="75" t="s">
        <v>136</v>
      </c>
      <c r="J21" s="75" t="s">
        <v>119</v>
      </c>
      <c r="K21" s="112"/>
    </row>
    <row r="22" customFormat="false" ht="15" hidden="false" customHeight="true" outlineLevel="0" collapsed="false">
      <c r="A22" s="70" t="s">
        <v>1627</v>
      </c>
      <c r="B22" s="72" t="s">
        <v>480</v>
      </c>
      <c r="C22" s="72" t="s">
        <v>186</v>
      </c>
      <c r="D22" s="70" t="s">
        <v>101</v>
      </c>
      <c r="E22" s="109" t="n">
        <v>21750000</v>
      </c>
      <c r="F22" s="109" t="n">
        <v>2128000</v>
      </c>
      <c r="G22" s="71" t="n">
        <v>45525</v>
      </c>
      <c r="H22" s="72" t="s">
        <v>112</v>
      </c>
      <c r="I22" s="70" t="s">
        <v>117</v>
      </c>
      <c r="J22" s="70" t="s">
        <v>119</v>
      </c>
      <c r="K22" s="110"/>
    </row>
    <row r="23" customFormat="false" ht="15" hidden="false" customHeight="true" outlineLevel="0" collapsed="false">
      <c r="A23" s="75" t="s">
        <v>1628</v>
      </c>
      <c r="B23" s="77" t="s">
        <v>489</v>
      </c>
      <c r="C23" s="77" t="s">
        <v>159</v>
      </c>
      <c r="D23" s="75" t="s">
        <v>174</v>
      </c>
      <c r="E23" s="111" t="n">
        <v>14110000</v>
      </c>
      <c r="F23" s="111" t="n">
        <v>1238000</v>
      </c>
      <c r="G23" s="76" t="n">
        <v>45701</v>
      </c>
      <c r="H23" s="77" t="s">
        <v>112</v>
      </c>
      <c r="I23" s="75" t="s">
        <v>214</v>
      </c>
      <c r="J23" s="75" t="s">
        <v>85</v>
      </c>
      <c r="K23" s="112" t="s">
        <v>240</v>
      </c>
    </row>
    <row r="24" customFormat="false" ht="15" hidden="false" customHeight="true" outlineLevel="0" collapsed="false">
      <c r="A24" s="70" t="s">
        <v>1629</v>
      </c>
      <c r="B24" s="72" t="s">
        <v>514</v>
      </c>
      <c r="C24" s="72" t="s">
        <v>186</v>
      </c>
      <c r="D24" s="70" t="s">
        <v>91</v>
      </c>
      <c r="E24" s="109" t="n">
        <v>6740000</v>
      </c>
      <c r="F24" s="109" t="n">
        <v>792000</v>
      </c>
      <c r="G24" s="71" t="n">
        <v>45524</v>
      </c>
      <c r="H24" s="72" t="s">
        <v>148</v>
      </c>
      <c r="I24" s="70" t="s">
        <v>117</v>
      </c>
      <c r="J24" s="70" t="s">
        <v>92</v>
      </c>
      <c r="K24" s="110"/>
    </row>
    <row r="25" customFormat="false" ht="15" hidden="false" customHeight="true" outlineLevel="0" collapsed="false">
      <c r="A25" s="75" t="s">
        <v>1630</v>
      </c>
      <c r="B25" s="77" t="s">
        <v>520</v>
      </c>
      <c r="C25" s="77" t="s">
        <v>186</v>
      </c>
      <c r="D25" s="75" t="s">
        <v>101</v>
      </c>
      <c r="E25" s="111" t="n">
        <v>17820000</v>
      </c>
      <c r="F25" s="111" t="n">
        <v>2103000</v>
      </c>
      <c r="G25" s="76" t="n">
        <v>45747</v>
      </c>
      <c r="H25" s="77" t="s">
        <v>170</v>
      </c>
      <c r="I25" s="75" t="s">
        <v>239</v>
      </c>
      <c r="J25" s="75" t="s">
        <v>119</v>
      </c>
      <c r="K25" s="112"/>
    </row>
    <row r="26" customFormat="false" ht="15" hidden="false" customHeight="true" outlineLevel="0" collapsed="false">
      <c r="A26" s="70" t="s">
        <v>1631</v>
      </c>
      <c r="B26" s="72" t="s">
        <v>529</v>
      </c>
      <c r="C26" s="72" t="s">
        <v>195</v>
      </c>
      <c r="D26" s="70" t="s">
        <v>131</v>
      </c>
      <c r="E26" s="109" t="n">
        <v>10510000</v>
      </c>
      <c r="F26" s="109" t="n">
        <v>877000</v>
      </c>
      <c r="G26" s="71" t="n">
        <v>45506</v>
      </c>
      <c r="H26" s="72" t="s">
        <v>209</v>
      </c>
      <c r="I26" s="70" t="s">
        <v>99</v>
      </c>
      <c r="J26" s="70" t="s">
        <v>160</v>
      </c>
      <c r="K26" s="110"/>
    </row>
    <row r="27" customFormat="false" ht="15" hidden="false" customHeight="true" outlineLevel="0" collapsed="false">
      <c r="A27" s="75" t="s">
        <v>1632</v>
      </c>
      <c r="B27" s="77" t="s">
        <v>290</v>
      </c>
      <c r="C27" s="77" t="s">
        <v>195</v>
      </c>
      <c r="D27" s="75" t="s">
        <v>118</v>
      </c>
      <c r="E27" s="111" t="n">
        <v>5270000</v>
      </c>
      <c r="F27" s="111" t="n">
        <v>610000</v>
      </c>
      <c r="G27" s="76" t="n">
        <v>45722</v>
      </c>
      <c r="H27" s="77" t="s">
        <v>124</v>
      </c>
      <c r="I27" s="75" t="s">
        <v>214</v>
      </c>
      <c r="J27" s="75" t="s">
        <v>111</v>
      </c>
      <c r="K27" s="112"/>
    </row>
    <row r="28" customFormat="false" ht="15" hidden="false" customHeight="true" outlineLevel="0" collapsed="false">
      <c r="A28" s="70" t="s">
        <v>1633</v>
      </c>
      <c r="B28" s="72" t="s">
        <v>543</v>
      </c>
      <c r="C28" s="72" t="s">
        <v>195</v>
      </c>
      <c r="D28" s="70" t="s">
        <v>131</v>
      </c>
      <c r="E28" s="109" t="n">
        <v>11970000</v>
      </c>
      <c r="F28" s="109" t="n">
        <v>1181000</v>
      </c>
      <c r="G28" s="71" t="n">
        <v>45723</v>
      </c>
      <c r="H28" s="72" t="s">
        <v>124</v>
      </c>
      <c r="I28" s="70" t="s">
        <v>89</v>
      </c>
      <c r="J28" s="70" t="s">
        <v>111</v>
      </c>
      <c r="K28" s="110"/>
    </row>
    <row r="29" customFormat="false" ht="15" hidden="false" customHeight="true" outlineLevel="0" collapsed="false">
      <c r="A29" s="75" t="s">
        <v>1634</v>
      </c>
      <c r="B29" s="77" t="s">
        <v>553</v>
      </c>
      <c r="C29" s="77" t="s">
        <v>195</v>
      </c>
      <c r="D29" s="75" t="s">
        <v>110</v>
      </c>
      <c r="E29" s="111" t="n">
        <v>26640000</v>
      </c>
      <c r="F29" s="111" t="n">
        <v>2951000</v>
      </c>
      <c r="G29" s="76" t="n">
        <v>45665</v>
      </c>
      <c r="H29" s="77" t="s">
        <v>93</v>
      </c>
      <c r="I29" s="75" t="s">
        <v>165</v>
      </c>
      <c r="J29" s="75" t="s">
        <v>111</v>
      </c>
      <c r="K29" s="112"/>
    </row>
    <row r="30" customFormat="false" ht="15" hidden="false" customHeight="true" outlineLevel="0" collapsed="false">
      <c r="A30" s="70" t="s">
        <v>1635</v>
      </c>
      <c r="B30" s="72" t="s">
        <v>556</v>
      </c>
      <c r="C30" s="72" t="s">
        <v>166</v>
      </c>
      <c r="D30" s="70" t="s">
        <v>131</v>
      </c>
      <c r="E30" s="109" t="n">
        <v>12210000</v>
      </c>
      <c r="F30" s="109" t="n">
        <v>1102000</v>
      </c>
      <c r="G30" s="71" t="n">
        <v>45442</v>
      </c>
      <c r="H30" s="72" t="s">
        <v>93</v>
      </c>
      <c r="I30" s="70" t="s">
        <v>214</v>
      </c>
      <c r="J30" s="70" t="s">
        <v>111</v>
      </c>
      <c r="K30" s="110"/>
    </row>
    <row r="31" customFormat="false" ht="15" hidden="false" customHeight="true" outlineLevel="0" collapsed="false">
      <c r="A31" s="75" t="s">
        <v>1636</v>
      </c>
      <c r="B31" s="77" t="s">
        <v>609</v>
      </c>
      <c r="C31" s="77" t="s">
        <v>195</v>
      </c>
      <c r="D31" s="75" t="s">
        <v>118</v>
      </c>
      <c r="E31" s="111" t="n">
        <v>4760000</v>
      </c>
      <c r="F31" s="111" t="n">
        <v>454000</v>
      </c>
      <c r="G31" s="76" t="n">
        <v>45625</v>
      </c>
      <c r="H31" s="77" t="s">
        <v>112</v>
      </c>
      <c r="I31" s="75" t="s">
        <v>239</v>
      </c>
      <c r="J31" s="75" t="s">
        <v>92</v>
      </c>
      <c r="K31" s="112"/>
    </row>
    <row r="32" customFormat="false" ht="15" hidden="false" customHeight="true" outlineLevel="0" collapsed="false">
      <c r="A32" s="70" t="s">
        <v>1637</v>
      </c>
      <c r="B32" s="72" t="s">
        <v>615</v>
      </c>
      <c r="C32" s="72" t="s">
        <v>186</v>
      </c>
      <c r="D32" s="70" t="s">
        <v>131</v>
      </c>
      <c r="E32" s="109" t="n">
        <v>11670000</v>
      </c>
      <c r="F32" s="109" t="n">
        <v>1380000</v>
      </c>
      <c r="G32" s="71" t="n">
        <v>45515</v>
      </c>
      <c r="H32" s="72" t="s">
        <v>209</v>
      </c>
      <c r="I32" s="70" t="s">
        <v>141</v>
      </c>
      <c r="J32" s="70" t="s">
        <v>137</v>
      </c>
      <c r="K32" s="110"/>
    </row>
    <row r="33" customFormat="false" ht="15" hidden="false" customHeight="true" outlineLevel="0" collapsed="false">
      <c r="A33" s="75" t="s">
        <v>1638</v>
      </c>
      <c r="B33" s="77" t="s">
        <v>689</v>
      </c>
      <c r="C33" s="77" t="s">
        <v>186</v>
      </c>
      <c r="D33" s="75" t="s">
        <v>101</v>
      </c>
      <c r="E33" s="111" t="n">
        <v>16580000</v>
      </c>
      <c r="F33" s="111" t="n">
        <v>1653000</v>
      </c>
      <c r="G33" s="76" t="n">
        <v>45421</v>
      </c>
      <c r="H33" s="77" t="s">
        <v>124</v>
      </c>
      <c r="I33" s="75" t="s">
        <v>147</v>
      </c>
      <c r="J33" s="75" t="s">
        <v>85</v>
      </c>
      <c r="K33" s="112" t="s">
        <v>187</v>
      </c>
    </row>
    <row r="34" customFormat="false" ht="15" hidden="false" customHeight="true" outlineLevel="0" collapsed="false">
      <c r="A34" s="70" t="s">
        <v>1639</v>
      </c>
      <c r="B34" s="72" t="s">
        <v>648</v>
      </c>
      <c r="C34" s="72" t="s">
        <v>90</v>
      </c>
      <c r="D34" s="70" t="s">
        <v>131</v>
      </c>
      <c r="E34" s="109" t="n">
        <v>11000000</v>
      </c>
      <c r="F34" s="109" t="n">
        <v>1164000</v>
      </c>
      <c r="G34" s="71" t="n">
        <v>45493</v>
      </c>
      <c r="H34" s="72" t="s">
        <v>148</v>
      </c>
      <c r="I34" s="70" t="s">
        <v>136</v>
      </c>
      <c r="J34" s="70" t="s">
        <v>137</v>
      </c>
      <c r="K34" s="110"/>
    </row>
    <row r="35" customFormat="false" ht="15" hidden="false" customHeight="true" outlineLevel="0" collapsed="false">
      <c r="A35" s="75" t="s">
        <v>1640</v>
      </c>
      <c r="B35" s="77" t="s">
        <v>718</v>
      </c>
      <c r="C35" s="77" t="s">
        <v>130</v>
      </c>
      <c r="D35" s="75" t="s">
        <v>101</v>
      </c>
      <c r="E35" s="111" t="n">
        <v>22450000</v>
      </c>
      <c r="F35" s="111" t="n">
        <v>2183000</v>
      </c>
      <c r="G35" s="76" t="n">
        <v>45677</v>
      </c>
      <c r="H35" s="77" t="s">
        <v>93</v>
      </c>
      <c r="I35" s="75" t="s">
        <v>239</v>
      </c>
      <c r="J35" s="75" t="s">
        <v>119</v>
      </c>
      <c r="K35" s="112"/>
    </row>
    <row r="36" customFormat="false" ht="15" hidden="false" customHeight="true" outlineLevel="0" collapsed="false">
      <c r="A36" s="70" t="s">
        <v>1641</v>
      </c>
      <c r="B36" s="72" t="s">
        <v>746</v>
      </c>
      <c r="C36" s="72" t="s">
        <v>130</v>
      </c>
      <c r="D36" s="70" t="s">
        <v>118</v>
      </c>
      <c r="E36" s="109" t="n">
        <v>6350000</v>
      </c>
      <c r="F36" s="109" t="n">
        <v>690000</v>
      </c>
      <c r="G36" s="71" t="n">
        <v>45607</v>
      </c>
      <c r="H36" s="72" t="s">
        <v>170</v>
      </c>
      <c r="I36" s="70" t="s">
        <v>129</v>
      </c>
      <c r="J36" s="70" t="s">
        <v>137</v>
      </c>
      <c r="K36" s="110"/>
    </row>
    <row r="37" customFormat="false" ht="15" hidden="false" customHeight="true" outlineLevel="0" collapsed="false">
      <c r="A37" s="75" t="s">
        <v>1642</v>
      </c>
      <c r="B37" s="77" t="s">
        <v>749</v>
      </c>
      <c r="C37" s="77" t="s">
        <v>130</v>
      </c>
      <c r="D37" s="75" t="s">
        <v>174</v>
      </c>
      <c r="E37" s="111" t="n">
        <v>12590000</v>
      </c>
      <c r="F37" s="111" t="n">
        <v>1295000</v>
      </c>
      <c r="G37" s="76" t="n">
        <v>45454</v>
      </c>
      <c r="H37" s="77" t="s">
        <v>170</v>
      </c>
      <c r="I37" s="75" t="s">
        <v>136</v>
      </c>
      <c r="J37" s="75" t="s">
        <v>85</v>
      </c>
      <c r="K37" s="112" t="s">
        <v>494</v>
      </c>
    </row>
    <row r="38" customFormat="false" ht="15" hidden="false" customHeight="true" outlineLevel="0" collapsed="false">
      <c r="A38" s="70" t="s">
        <v>1643</v>
      </c>
      <c r="B38" s="72" t="s">
        <v>752</v>
      </c>
      <c r="C38" s="72" t="s">
        <v>186</v>
      </c>
      <c r="D38" s="70" t="s">
        <v>131</v>
      </c>
      <c r="E38" s="109" t="n">
        <v>9660000</v>
      </c>
      <c r="F38" s="109" t="n">
        <v>1119000</v>
      </c>
      <c r="G38" s="71" t="n">
        <v>45637</v>
      </c>
      <c r="H38" s="72" t="s">
        <v>112</v>
      </c>
      <c r="I38" s="70" t="s">
        <v>165</v>
      </c>
      <c r="J38" s="70" t="s">
        <v>85</v>
      </c>
      <c r="K38" s="110" t="s">
        <v>448</v>
      </c>
    </row>
    <row r="39" customFormat="false" ht="15" hidden="false" customHeight="true" outlineLevel="0" collapsed="false">
      <c r="A39" s="75" t="s">
        <v>1644</v>
      </c>
      <c r="B39" s="77" t="s">
        <v>755</v>
      </c>
      <c r="C39" s="77" t="s">
        <v>186</v>
      </c>
      <c r="D39" s="75" t="s">
        <v>118</v>
      </c>
      <c r="E39" s="111" t="n">
        <v>4500000</v>
      </c>
      <c r="F39" s="111" t="n">
        <v>528000</v>
      </c>
      <c r="G39" s="76" t="n">
        <v>45477</v>
      </c>
      <c r="H39" s="77" t="s">
        <v>112</v>
      </c>
      <c r="I39" s="75" t="s">
        <v>155</v>
      </c>
      <c r="J39" s="75" t="s">
        <v>137</v>
      </c>
      <c r="K39" s="112"/>
    </row>
    <row r="40" customFormat="false" ht="15" hidden="false" customHeight="true" outlineLevel="0" collapsed="false">
      <c r="A40" s="70" t="s">
        <v>1645</v>
      </c>
      <c r="B40" s="72" t="s">
        <v>456</v>
      </c>
      <c r="C40" s="72" t="s">
        <v>166</v>
      </c>
      <c r="D40" s="70" t="s">
        <v>110</v>
      </c>
      <c r="E40" s="109" t="n">
        <v>24540000</v>
      </c>
      <c r="F40" s="109" t="n">
        <v>2650000</v>
      </c>
      <c r="G40" s="71" t="n">
        <v>45458</v>
      </c>
      <c r="H40" s="72" t="s">
        <v>112</v>
      </c>
      <c r="I40" s="70" t="s">
        <v>89</v>
      </c>
      <c r="J40" s="70" t="s">
        <v>119</v>
      </c>
      <c r="K40" s="110"/>
    </row>
    <row r="41" customFormat="false" ht="15" hidden="false" customHeight="true" outlineLevel="0" collapsed="false">
      <c r="A41" s="75" t="s">
        <v>1646</v>
      </c>
      <c r="B41" s="77" t="s">
        <v>798</v>
      </c>
      <c r="C41" s="77" t="s">
        <v>186</v>
      </c>
      <c r="D41" s="75" t="s">
        <v>174</v>
      </c>
      <c r="E41" s="111" t="n">
        <v>16320000</v>
      </c>
      <c r="F41" s="111" t="n">
        <v>1768000</v>
      </c>
      <c r="G41" s="76" t="n">
        <v>45659</v>
      </c>
      <c r="H41" s="77" t="s">
        <v>148</v>
      </c>
      <c r="I41" s="75" t="s">
        <v>129</v>
      </c>
      <c r="J41" s="75" t="s">
        <v>85</v>
      </c>
      <c r="K41" s="112" t="s">
        <v>187</v>
      </c>
    </row>
    <row r="42" customFormat="false" ht="15" hidden="false" customHeight="true" outlineLevel="0" collapsed="false">
      <c r="A42" s="70" t="s">
        <v>1647</v>
      </c>
      <c r="B42" s="72" t="s">
        <v>816</v>
      </c>
      <c r="C42" s="72" t="s">
        <v>159</v>
      </c>
      <c r="D42" s="70" t="s">
        <v>131</v>
      </c>
      <c r="E42" s="109" t="n">
        <v>12890000</v>
      </c>
      <c r="F42" s="109" t="n">
        <v>1466000</v>
      </c>
      <c r="G42" s="71" t="n">
        <v>45627</v>
      </c>
      <c r="H42" s="72" t="s">
        <v>178</v>
      </c>
      <c r="I42" s="70" t="s">
        <v>141</v>
      </c>
      <c r="J42" s="70" t="s">
        <v>137</v>
      </c>
      <c r="K42" s="110"/>
    </row>
    <row r="43" customFormat="false" ht="15" hidden="false" customHeight="true" outlineLevel="0" collapsed="false">
      <c r="A43" s="75" t="s">
        <v>1648</v>
      </c>
      <c r="B43" s="77" t="s">
        <v>827</v>
      </c>
      <c r="C43" s="77" t="s">
        <v>186</v>
      </c>
      <c r="D43" s="75" t="s">
        <v>91</v>
      </c>
      <c r="E43" s="111" t="n">
        <v>6510000</v>
      </c>
      <c r="F43" s="111" t="n">
        <v>621000</v>
      </c>
      <c r="G43" s="76" t="n">
        <v>45472</v>
      </c>
      <c r="H43" s="77" t="s">
        <v>124</v>
      </c>
      <c r="I43" s="75" t="s">
        <v>155</v>
      </c>
      <c r="J43" s="75" t="s">
        <v>92</v>
      </c>
      <c r="K43" s="112"/>
    </row>
    <row r="44" customFormat="false" ht="15" hidden="false" customHeight="true" outlineLevel="0" collapsed="false">
      <c r="A44" s="70" t="s">
        <v>1649</v>
      </c>
      <c r="B44" s="72" t="s">
        <v>839</v>
      </c>
      <c r="C44" s="72" t="s">
        <v>159</v>
      </c>
      <c r="D44" s="70" t="s">
        <v>110</v>
      </c>
      <c r="E44" s="109" t="n">
        <v>30090000</v>
      </c>
      <c r="F44" s="109" t="n">
        <v>2553000</v>
      </c>
      <c r="G44" s="71" t="n">
        <v>45705</v>
      </c>
      <c r="H44" s="72" t="s">
        <v>209</v>
      </c>
      <c r="I44" s="70" t="s">
        <v>89</v>
      </c>
      <c r="J44" s="70" t="s">
        <v>85</v>
      </c>
      <c r="K44" s="110" t="s">
        <v>187</v>
      </c>
    </row>
    <row r="45" customFormat="false" ht="15" hidden="false" customHeight="true" outlineLevel="0" collapsed="false">
      <c r="A45" s="75" t="s">
        <v>1650</v>
      </c>
      <c r="B45" s="77" t="s">
        <v>842</v>
      </c>
      <c r="C45" s="77" t="s">
        <v>90</v>
      </c>
      <c r="D45" s="75" t="s">
        <v>131</v>
      </c>
      <c r="E45" s="111" t="n">
        <v>12510000</v>
      </c>
      <c r="F45" s="111" t="n">
        <v>1168000</v>
      </c>
      <c r="G45" s="76" t="n">
        <v>45441</v>
      </c>
      <c r="H45" s="77" t="s">
        <v>142</v>
      </c>
      <c r="I45" s="75" t="s">
        <v>165</v>
      </c>
      <c r="J45" s="75" t="s">
        <v>137</v>
      </c>
      <c r="K45" s="112"/>
    </row>
    <row r="46" customFormat="false" ht="15" hidden="false" customHeight="true" outlineLevel="0" collapsed="false">
      <c r="A46" s="70" t="s">
        <v>1651</v>
      </c>
      <c r="B46" s="72" t="s">
        <v>868</v>
      </c>
      <c r="C46" s="72" t="s">
        <v>195</v>
      </c>
      <c r="D46" s="70" t="s">
        <v>174</v>
      </c>
      <c r="E46" s="109" t="n">
        <v>12760000</v>
      </c>
      <c r="F46" s="109" t="n">
        <v>1207000</v>
      </c>
      <c r="G46" s="71" t="n">
        <v>45635</v>
      </c>
      <c r="H46" s="72" t="s">
        <v>103</v>
      </c>
      <c r="I46" s="70" t="s">
        <v>108</v>
      </c>
      <c r="J46" s="70" t="s">
        <v>111</v>
      </c>
      <c r="K46" s="110"/>
    </row>
    <row r="47" customFormat="false" ht="15" hidden="false" customHeight="true" outlineLevel="0" collapsed="false">
      <c r="A47" s="75" t="s">
        <v>1652</v>
      </c>
      <c r="B47" s="77" t="s">
        <v>936</v>
      </c>
      <c r="C47" s="77" t="s">
        <v>100</v>
      </c>
      <c r="D47" s="75" t="s">
        <v>110</v>
      </c>
      <c r="E47" s="111" t="n">
        <v>29710000</v>
      </c>
      <c r="F47" s="111" t="n">
        <v>3281000</v>
      </c>
      <c r="G47" s="76" t="n">
        <v>45444</v>
      </c>
      <c r="H47" s="77" t="s">
        <v>103</v>
      </c>
      <c r="I47" s="75" t="s">
        <v>141</v>
      </c>
      <c r="J47" s="75" t="s">
        <v>111</v>
      </c>
      <c r="K47" s="112"/>
    </row>
    <row r="48" customFormat="false" ht="15" hidden="false" customHeight="true" outlineLevel="0" collapsed="false">
      <c r="A48" s="70" t="s">
        <v>1653</v>
      </c>
      <c r="B48" s="72" t="s">
        <v>1002</v>
      </c>
      <c r="C48" s="72" t="s">
        <v>166</v>
      </c>
      <c r="D48" s="70" t="s">
        <v>91</v>
      </c>
      <c r="E48" s="109" t="n">
        <v>7240000</v>
      </c>
      <c r="F48" s="109" t="n">
        <v>740000</v>
      </c>
      <c r="G48" s="71" t="n">
        <v>45613</v>
      </c>
      <c r="H48" s="72" t="s">
        <v>142</v>
      </c>
      <c r="I48" s="70" t="s">
        <v>99</v>
      </c>
      <c r="J48" s="70" t="s">
        <v>85</v>
      </c>
      <c r="K48" s="110" t="s">
        <v>132</v>
      </c>
    </row>
    <row r="49" customFormat="false" ht="15" hidden="false" customHeight="true" outlineLevel="0" collapsed="false">
      <c r="A49" s="75" t="s">
        <v>1654</v>
      </c>
      <c r="B49" s="77" t="s">
        <v>1005</v>
      </c>
      <c r="C49" s="77" t="s">
        <v>195</v>
      </c>
      <c r="D49" s="75" t="s">
        <v>91</v>
      </c>
      <c r="E49" s="111" t="n">
        <v>7750000</v>
      </c>
      <c r="F49" s="111" t="n">
        <v>836000</v>
      </c>
      <c r="G49" s="76" t="n">
        <v>45531</v>
      </c>
      <c r="H49" s="77" t="s">
        <v>124</v>
      </c>
      <c r="I49" s="75" t="s">
        <v>129</v>
      </c>
      <c r="J49" s="75" t="s">
        <v>160</v>
      </c>
      <c r="K49" s="112"/>
    </row>
    <row r="50" customFormat="false" ht="15" hidden="false" customHeight="true" outlineLevel="0" collapsed="false">
      <c r="A50" s="70" t="s">
        <v>1655</v>
      </c>
      <c r="B50" s="72" t="s">
        <v>1023</v>
      </c>
      <c r="C50" s="72" t="s">
        <v>159</v>
      </c>
      <c r="D50" s="70" t="s">
        <v>131</v>
      </c>
      <c r="E50" s="109" t="n">
        <v>12510000</v>
      </c>
      <c r="F50" s="109" t="n">
        <v>1244000</v>
      </c>
      <c r="G50" s="71" t="n">
        <v>45571</v>
      </c>
      <c r="H50" s="72" t="s">
        <v>209</v>
      </c>
      <c r="I50" s="70" t="s">
        <v>214</v>
      </c>
      <c r="J50" s="70" t="s">
        <v>85</v>
      </c>
      <c r="K50" s="110" t="s">
        <v>132</v>
      </c>
    </row>
    <row r="51" customFormat="false" ht="15" hidden="false" customHeight="true" outlineLevel="0" collapsed="false">
      <c r="A51" s="75" t="s">
        <v>1656</v>
      </c>
      <c r="B51" s="77" t="s">
        <v>1031</v>
      </c>
      <c r="C51" s="77" t="s">
        <v>159</v>
      </c>
      <c r="D51" s="75" t="s">
        <v>174</v>
      </c>
      <c r="E51" s="111" t="n">
        <v>13590000</v>
      </c>
      <c r="F51" s="111" t="n">
        <v>1163000</v>
      </c>
      <c r="G51" s="76" t="n">
        <v>45696</v>
      </c>
      <c r="H51" s="77" t="s">
        <v>112</v>
      </c>
      <c r="I51" s="75" t="s">
        <v>239</v>
      </c>
      <c r="J51" s="75" t="s">
        <v>85</v>
      </c>
      <c r="K51" s="112" t="s">
        <v>240</v>
      </c>
    </row>
    <row r="52" customFormat="false" ht="15" hidden="false" customHeight="true" outlineLevel="0" collapsed="false">
      <c r="A52" s="70" t="s">
        <v>1657</v>
      </c>
      <c r="B52" s="72" t="s">
        <v>1042</v>
      </c>
      <c r="C52" s="72" t="s">
        <v>195</v>
      </c>
      <c r="D52" s="70" t="s">
        <v>118</v>
      </c>
      <c r="E52" s="109" t="n">
        <v>5500000</v>
      </c>
      <c r="F52" s="109" t="n">
        <v>548000</v>
      </c>
      <c r="G52" s="71" t="n">
        <v>45488</v>
      </c>
      <c r="H52" s="72" t="s">
        <v>124</v>
      </c>
      <c r="I52" s="70" t="s">
        <v>155</v>
      </c>
      <c r="J52" s="70" t="s">
        <v>111</v>
      </c>
      <c r="K52" s="110"/>
    </row>
    <row r="53" customFormat="false" ht="15" hidden="false" customHeight="true" outlineLevel="0" collapsed="false">
      <c r="A53" s="75" t="s">
        <v>1658</v>
      </c>
      <c r="B53" s="77" t="s">
        <v>1055</v>
      </c>
      <c r="C53" s="77" t="s">
        <v>159</v>
      </c>
      <c r="D53" s="75" t="s">
        <v>131</v>
      </c>
      <c r="E53" s="111" t="n">
        <v>12080000</v>
      </c>
      <c r="F53" s="111" t="n">
        <v>1208000</v>
      </c>
      <c r="G53" s="76" t="n">
        <v>45745</v>
      </c>
      <c r="H53" s="77" t="s">
        <v>112</v>
      </c>
      <c r="I53" s="75" t="s">
        <v>129</v>
      </c>
      <c r="J53" s="75" t="s">
        <v>119</v>
      </c>
      <c r="K53" s="112"/>
    </row>
    <row r="54" customFormat="false" ht="15" hidden="false" customHeight="true" outlineLevel="0" collapsed="false">
      <c r="A54" s="70" t="s">
        <v>1659</v>
      </c>
      <c r="B54" s="72" t="s">
        <v>1064</v>
      </c>
      <c r="C54" s="72" t="s">
        <v>159</v>
      </c>
      <c r="D54" s="70" t="s">
        <v>174</v>
      </c>
      <c r="E54" s="109" t="n">
        <v>12140000</v>
      </c>
      <c r="F54" s="109" t="n">
        <v>989000</v>
      </c>
      <c r="G54" s="71" t="n">
        <v>45668</v>
      </c>
      <c r="H54" s="72" t="s">
        <v>124</v>
      </c>
      <c r="I54" s="70" t="s">
        <v>141</v>
      </c>
      <c r="J54" s="70" t="s">
        <v>137</v>
      </c>
      <c r="K54" s="110"/>
    </row>
    <row r="55" customFormat="false" ht="15" hidden="false" customHeight="true" outlineLevel="0" collapsed="false">
      <c r="A55" s="75" t="s">
        <v>1660</v>
      </c>
      <c r="B55" s="77" t="s">
        <v>492</v>
      </c>
      <c r="C55" s="77" t="s">
        <v>90</v>
      </c>
      <c r="D55" s="75" t="s">
        <v>110</v>
      </c>
      <c r="E55" s="111" t="n">
        <v>34100000</v>
      </c>
      <c r="F55" s="111" t="n">
        <v>2786000</v>
      </c>
      <c r="G55" s="76" t="n">
        <v>45700</v>
      </c>
      <c r="H55" s="77" t="s">
        <v>103</v>
      </c>
      <c r="I55" s="75" t="s">
        <v>141</v>
      </c>
      <c r="J55" s="75" t="s">
        <v>102</v>
      </c>
      <c r="K55" s="112" t="s">
        <v>494</v>
      </c>
    </row>
    <row r="56" customFormat="false" ht="15" hidden="false" customHeight="true" outlineLevel="0" collapsed="false">
      <c r="A56" s="70" t="s">
        <v>1661</v>
      </c>
      <c r="B56" s="72" t="s">
        <v>1096</v>
      </c>
      <c r="C56" s="72" t="s">
        <v>186</v>
      </c>
      <c r="D56" s="70" t="s">
        <v>118</v>
      </c>
      <c r="E56" s="109" t="n">
        <v>6690000</v>
      </c>
      <c r="F56" s="109" t="n">
        <v>658000</v>
      </c>
      <c r="G56" s="71" t="n">
        <v>45750</v>
      </c>
      <c r="H56" s="72" t="s">
        <v>178</v>
      </c>
      <c r="I56" s="70" t="s">
        <v>136</v>
      </c>
      <c r="J56" s="70" t="s">
        <v>137</v>
      </c>
      <c r="K56" s="110"/>
    </row>
    <row r="57" customFormat="false" ht="15" hidden="false" customHeight="true" outlineLevel="0" collapsed="false">
      <c r="A57" s="75" t="s">
        <v>1662</v>
      </c>
      <c r="B57" s="77" t="s">
        <v>1099</v>
      </c>
      <c r="C57" s="77" t="s">
        <v>166</v>
      </c>
      <c r="D57" s="75" t="s">
        <v>131</v>
      </c>
      <c r="E57" s="111" t="n">
        <v>14000000</v>
      </c>
      <c r="F57" s="111" t="n">
        <v>1203000</v>
      </c>
      <c r="G57" s="76" t="n">
        <v>45667</v>
      </c>
      <c r="H57" s="77" t="s">
        <v>178</v>
      </c>
      <c r="I57" s="75" t="s">
        <v>155</v>
      </c>
      <c r="J57" s="75" t="s">
        <v>160</v>
      </c>
      <c r="K57" s="112"/>
    </row>
    <row r="58" customFormat="false" ht="15" hidden="false" customHeight="true" outlineLevel="0" collapsed="false">
      <c r="A58" s="70" t="s">
        <v>1663</v>
      </c>
      <c r="B58" s="72" t="s">
        <v>609</v>
      </c>
      <c r="C58" s="72" t="s">
        <v>130</v>
      </c>
      <c r="D58" s="70" t="s">
        <v>110</v>
      </c>
      <c r="E58" s="109" t="n">
        <v>23210000</v>
      </c>
      <c r="F58" s="109" t="n">
        <v>1891000</v>
      </c>
      <c r="G58" s="71" t="n">
        <v>45520</v>
      </c>
      <c r="H58" s="72" t="s">
        <v>93</v>
      </c>
      <c r="I58" s="70" t="s">
        <v>89</v>
      </c>
      <c r="J58" s="70" t="s">
        <v>102</v>
      </c>
      <c r="K58" s="110"/>
    </row>
    <row r="59" customFormat="false" ht="15" hidden="false" customHeight="true" outlineLevel="0" collapsed="false">
      <c r="A59" s="75" t="s">
        <v>1664</v>
      </c>
      <c r="B59" s="77" t="s">
        <v>930</v>
      </c>
      <c r="C59" s="77" t="s">
        <v>195</v>
      </c>
      <c r="D59" s="75" t="s">
        <v>110</v>
      </c>
      <c r="E59" s="111" t="n">
        <v>22320000</v>
      </c>
      <c r="F59" s="111" t="n">
        <v>2206000</v>
      </c>
      <c r="G59" s="76" t="n">
        <v>45519</v>
      </c>
      <c r="H59" s="77" t="s">
        <v>112</v>
      </c>
      <c r="I59" s="75" t="s">
        <v>129</v>
      </c>
      <c r="J59" s="75" t="s">
        <v>92</v>
      </c>
      <c r="K59" s="112"/>
    </row>
    <row r="60" customFormat="false" ht="15" hidden="false" customHeight="true" outlineLevel="0" collapsed="false">
      <c r="A60" s="70" t="s">
        <v>1665</v>
      </c>
      <c r="B60" s="72" t="s">
        <v>1125</v>
      </c>
      <c r="C60" s="72" t="s">
        <v>195</v>
      </c>
      <c r="D60" s="70" t="s">
        <v>131</v>
      </c>
      <c r="E60" s="109" t="n">
        <v>10600000</v>
      </c>
      <c r="F60" s="109" t="n">
        <v>854000</v>
      </c>
      <c r="G60" s="71" t="n">
        <v>45725</v>
      </c>
      <c r="H60" s="72" t="s">
        <v>148</v>
      </c>
      <c r="I60" s="70" t="s">
        <v>147</v>
      </c>
      <c r="J60" s="70" t="s">
        <v>102</v>
      </c>
      <c r="K60" s="110"/>
    </row>
    <row r="61" customFormat="false" ht="15" hidden="false" customHeight="true" outlineLevel="0" collapsed="false">
      <c r="A61" s="75" t="s">
        <v>1666</v>
      </c>
      <c r="B61" s="77" t="s">
        <v>911</v>
      </c>
      <c r="C61" s="77" t="s">
        <v>109</v>
      </c>
      <c r="D61" s="75" t="s">
        <v>91</v>
      </c>
      <c r="E61" s="111" t="n">
        <v>7790000</v>
      </c>
      <c r="F61" s="111" t="n">
        <v>879000</v>
      </c>
      <c r="G61" s="76" t="n">
        <v>45503</v>
      </c>
      <c r="H61" s="77" t="s">
        <v>148</v>
      </c>
      <c r="I61" s="75" t="s">
        <v>136</v>
      </c>
      <c r="J61" s="75" t="s">
        <v>92</v>
      </c>
      <c r="K61" s="112"/>
    </row>
    <row r="62" customFormat="false" ht="15" hidden="false" customHeight="true" outlineLevel="0" collapsed="false">
      <c r="A62" s="70" t="s">
        <v>1667</v>
      </c>
      <c r="B62" s="72" t="s">
        <v>1181</v>
      </c>
      <c r="C62" s="72" t="s">
        <v>100</v>
      </c>
      <c r="D62" s="70" t="s">
        <v>131</v>
      </c>
      <c r="E62" s="109" t="n">
        <v>10930000</v>
      </c>
      <c r="F62" s="109" t="n">
        <v>1240000</v>
      </c>
      <c r="G62" s="71" t="n">
        <v>45661</v>
      </c>
      <c r="H62" s="72" t="s">
        <v>93</v>
      </c>
      <c r="I62" s="70" t="s">
        <v>147</v>
      </c>
      <c r="J62" s="70" t="s">
        <v>85</v>
      </c>
      <c r="K62" s="110" t="s">
        <v>187</v>
      </c>
    </row>
    <row r="63" customFormat="false" ht="15" hidden="false" customHeight="true" outlineLevel="0" collapsed="false">
      <c r="A63" s="75" t="s">
        <v>1668</v>
      </c>
      <c r="B63" s="77" t="s">
        <v>1216</v>
      </c>
      <c r="C63" s="77" t="s">
        <v>109</v>
      </c>
      <c r="D63" s="75" t="s">
        <v>118</v>
      </c>
      <c r="E63" s="111" t="n">
        <v>4950000</v>
      </c>
      <c r="F63" s="111" t="n">
        <v>419000</v>
      </c>
      <c r="G63" s="76" t="n">
        <v>45694</v>
      </c>
      <c r="H63" s="77" t="s">
        <v>103</v>
      </c>
      <c r="I63" s="75" t="s">
        <v>136</v>
      </c>
      <c r="J63" s="75" t="s">
        <v>92</v>
      </c>
      <c r="K63" s="112"/>
    </row>
    <row r="64" customFormat="false" ht="15" hidden="false" customHeight="true" outlineLevel="0" collapsed="false">
      <c r="A64" s="70" t="s">
        <v>1669</v>
      </c>
      <c r="B64" s="72" t="s">
        <v>1234</v>
      </c>
      <c r="C64" s="72" t="s">
        <v>166</v>
      </c>
      <c r="D64" s="70" t="s">
        <v>131</v>
      </c>
      <c r="E64" s="109" t="n">
        <v>11350000</v>
      </c>
      <c r="F64" s="109" t="n">
        <v>937000</v>
      </c>
      <c r="G64" s="71" t="n">
        <v>45613</v>
      </c>
      <c r="H64" s="72" t="s">
        <v>209</v>
      </c>
      <c r="I64" s="70" t="s">
        <v>165</v>
      </c>
      <c r="J64" s="70" t="s">
        <v>137</v>
      </c>
      <c r="K64" s="110"/>
    </row>
    <row r="65" customFormat="false" ht="15" hidden="false" customHeight="true" outlineLevel="0" collapsed="false">
      <c r="A65" s="75" t="s">
        <v>1670</v>
      </c>
      <c r="B65" s="77" t="s">
        <v>1237</v>
      </c>
      <c r="C65" s="77" t="s">
        <v>100</v>
      </c>
      <c r="D65" s="75" t="s">
        <v>101</v>
      </c>
      <c r="E65" s="111" t="n">
        <v>22810000</v>
      </c>
      <c r="F65" s="111" t="n">
        <v>2587000</v>
      </c>
      <c r="G65" s="76" t="n">
        <v>45755</v>
      </c>
      <c r="H65" s="77" t="s">
        <v>209</v>
      </c>
      <c r="I65" s="75" t="s">
        <v>141</v>
      </c>
      <c r="J65" s="75" t="s">
        <v>160</v>
      </c>
      <c r="K65" s="112"/>
    </row>
    <row r="66" customFormat="false" ht="15" hidden="false" customHeight="true" outlineLevel="0" collapsed="false">
      <c r="A66" s="70" t="s">
        <v>1671</v>
      </c>
      <c r="B66" s="72" t="s">
        <v>1255</v>
      </c>
      <c r="C66" s="72" t="s">
        <v>159</v>
      </c>
      <c r="D66" s="70" t="s">
        <v>101</v>
      </c>
      <c r="E66" s="109" t="n">
        <v>17010000</v>
      </c>
      <c r="F66" s="109" t="n">
        <v>2025000</v>
      </c>
      <c r="G66" s="71" t="n">
        <v>45565</v>
      </c>
      <c r="H66" s="72" t="s">
        <v>93</v>
      </c>
      <c r="I66" s="70" t="s">
        <v>141</v>
      </c>
      <c r="J66" s="70" t="s">
        <v>111</v>
      </c>
      <c r="K66" s="110"/>
    </row>
    <row r="67" customFormat="false" ht="15" hidden="false" customHeight="true" outlineLevel="0" collapsed="false">
      <c r="A67" s="75" t="s">
        <v>1672</v>
      </c>
      <c r="B67" s="77" t="s">
        <v>245</v>
      </c>
      <c r="C67" s="77" t="s">
        <v>100</v>
      </c>
      <c r="D67" s="75" t="s">
        <v>131</v>
      </c>
      <c r="E67" s="111" t="n">
        <v>12200000</v>
      </c>
      <c r="F67" s="111" t="n">
        <v>1384000</v>
      </c>
      <c r="G67" s="76" t="n">
        <v>45425</v>
      </c>
      <c r="H67" s="77" t="s">
        <v>142</v>
      </c>
      <c r="I67" s="75" t="s">
        <v>214</v>
      </c>
      <c r="J67" s="75" t="s">
        <v>85</v>
      </c>
      <c r="K67" s="112" t="s">
        <v>210</v>
      </c>
    </row>
    <row r="68" customFormat="false" ht="15" hidden="false" customHeight="true" outlineLevel="0" collapsed="false">
      <c r="A68" s="70" t="s">
        <v>1673</v>
      </c>
      <c r="B68" s="72" t="s">
        <v>1263</v>
      </c>
      <c r="C68" s="72" t="s">
        <v>109</v>
      </c>
      <c r="D68" s="70" t="s">
        <v>174</v>
      </c>
      <c r="E68" s="109" t="n">
        <v>13450000</v>
      </c>
      <c r="F68" s="109" t="n">
        <v>1257000</v>
      </c>
      <c r="G68" s="71" t="n">
        <v>45542</v>
      </c>
      <c r="H68" s="72" t="s">
        <v>124</v>
      </c>
      <c r="I68" s="70" t="s">
        <v>147</v>
      </c>
      <c r="J68" s="70" t="s">
        <v>111</v>
      </c>
      <c r="K68" s="110"/>
    </row>
    <row r="69" customFormat="false" ht="15" hidden="false" customHeight="true" outlineLevel="0" collapsed="false">
      <c r="A69" s="75" t="s">
        <v>1674</v>
      </c>
      <c r="B69" s="77" t="s">
        <v>1266</v>
      </c>
      <c r="C69" s="77" t="s">
        <v>100</v>
      </c>
      <c r="D69" s="75" t="s">
        <v>91</v>
      </c>
      <c r="E69" s="111" t="n">
        <v>9680000</v>
      </c>
      <c r="F69" s="111" t="n">
        <v>935000</v>
      </c>
      <c r="G69" s="76" t="n">
        <v>45624</v>
      </c>
      <c r="H69" s="77" t="s">
        <v>124</v>
      </c>
      <c r="I69" s="75" t="s">
        <v>239</v>
      </c>
      <c r="J69" s="75" t="s">
        <v>160</v>
      </c>
      <c r="K69" s="112"/>
    </row>
    <row r="70" customFormat="false" ht="15" hidden="false" customHeight="true" outlineLevel="0" collapsed="false">
      <c r="A70" s="70" t="s">
        <v>1675</v>
      </c>
      <c r="B70" s="72" t="s">
        <v>1292</v>
      </c>
      <c r="C70" s="72" t="s">
        <v>130</v>
      </c>
      <c r="D70" s="70" t="s">
        <v>131</v>
      </c>
      <c r="E70" s="109" t="n">
        <v>10880000</v>
      </c>
      <c r="F70" s="109" t="n">
        <v>1061000</v>
      </c>
      <c r="G70" s="71" t="n">
        <v>45630</v>
      </c>
      <c r="H70" s="72" t="s">
        <v>142</v>
      </c>
      <c r="I70" s="70" t="s">
        <v>239</v>
      </c>
      <c r="J70" s="70" t="s">
        <v>119</v>
      </c>
      <c r="K70" s="110"/>
    </row>
    <row r="71" customFormat="false" ht="15" hidden="false" customHeight="true" outlineLevel="0" collapsed="false">
      <c r="A71" s="75" t="s">
        <v>1676</v>
      </c>
      <c r="B71" s="77" t="s">
        <v>1304</v>
      </c>
      <c r="C71" s="77" t="s">
        <v>195</v>
      </c>
      <c r="D71" s="75" t="s">
        <v>118</v>
      </c>
      <c r="E71" s="111" t="n">
        <v>4920000</v>
      </c>
      <c r="F71" s="111" t="n">
        <v>549000</v>
      </c>
      <c r="G71" s="76" t="n">
        <v>45480</v>
      </c>
      <c r="H71" s="77" t="s">
        <v>103</v>
      </c>
      <c r="I71" s="75" t="s">
        <v>147</v>
      </c>
      <c r="J71" s="75" t="s">
        <v>119</v>
      </c>
      <c r="K71" s="112"/>
    </row>
    <row r="72" customFormat="false" ht="15" hidden="false" customHeight="true" outlineLevel="0" collapsed="false">
      <c r="A72" s="70" t="s">
        <v>1677</v>
      </c>
      <c r="B72" s="72" t="s">
        <v>1313</v>
      </c>
      <c r="C72" s="72" t="s">
        <v>90</v>
      </c>
      <c r="D72" s="70" t="s">
        <v>131</v>
      </c>
      <c r="E72" s="109" t="n">
        <v>10820000</v>
      </c>
      <c r="F72" s="109" t="n">
        <v>872000</v>
      </c>
      <c r="G72" s="71" t="n">
        <v>45655</v>
      </c>
      <c r="H72" s="72" t="s">
        <v>124</v>
      </c>
      <c r="I72" s="70" t="s">
        <v>147</v>
      </c>
      <c r="J72" s="70" t="s">
        <v>137</v>
      </c>
      <c r="K72" s="110"/>
    </row>
    <row r="73" customFormat="false" ht="15" hidden="false" customHeight="true" outlineLevel="0" collapsed="false">
      <c r="A73" s="75" t="s">
        <v>1678</v>
      </c>
      <c r="B73" s="77" t="s">
        <v>833</v>
      </c>
      <c r="C73" s="77" t="s">
        <v>159</v>
      </c>
      <c r="D73" s="75" t="s">
        <v>101</v>
      </c>
      <c r="E73" s="111" t="n">
        <v>16060000</v>
      </c>
      <c r="F73" s="111" t="n">
        <v>1400000</v>
      </c>
      <c r="G73" s="76" t="n">
        <v>45531</v>
      </c>
      <c r="H73" s="77" t="s">
        <v>124</v>
      </c>
      <c r="I73" s="75" t="s">
        <v>136</v>
      </c>
      <c r="J73" s="75" t="s">
        <v>92</v>
      </c>
      <c r="K73" s="112"/>
    </row>
    <row r="74" customFormat="false" ht="15" hidden="false" customHeight="true" outlineLevel="0" collapsed="false">
      <c r="A74" s="70" t="s">
        <v>1679</v>
      </c>
      <c r="B74" s="72" t="s">
        <v>1346</v>
      </c>
      <c r="C74" s="72" t="s">
        <v>109</v>
      </c>
      <c r="D74" s="70" t="s">
        <v>174</v>
      </c>
      <c r="E74" s="109" t="n">
        <v>14380000</v>
      </c>
      <c r="F74" s="109" t="n">
        <v>1390000</v>
      </c>
      <c r="G74" s="71" t="n">
        <v>45605</v>
      </c>
      <c r="H74" s="72" t="s">
        <v>103</v>
      </c>
      <c r="I74" s="70" t="s">
        <v>141</v>
      </c>
      <c r="J74" s="70" t="s">
        <v>111</v>
      </c>
      <c r="K74" s="110"/>
    </row>
    <row r="75" customFormat="false" ht="15" hidden="false" customHeight="true" outlineLevel="0" collapsed="false">
      <c r="A75" s="75" t="s">
        <v>1680</v>
      </c>
      <c r="B75" s="77" t="s">
        <v>1355</v>
      </c>
      <c r="C75" s="77" t="s">
        <v>109</v>
      </c>
      <c r="D75" s="75" t="s">
        <v>118</v>
      </c>
      <c r="E75" s="111" t="n">
        <v>5360000</v>
      </c>
      <c r="F75" s="111" t="n">
        <v>459000</v>
      </c>
      <c r="G75" s="76" t="n">
        <v>45537</v>
      </c>
      <c r="H75" s="77" t="s">
        <v>209</v>
      </c>
      <c r="I75" s="75" t="s">
        <v>136</v>
      </c>
      <c r="J75" s="75" t="s">
        <v>160</v>
      </c>
      <c r="K75" s="112"/>
    </row>
    <row r="76" customFormat="false" ht="15" hidden="false" customHeight="true" outlineLevel="0" collapsed="false">
      <c r="A76" s="70" t="s">
        <v>1681</v>
      </c>
      <c r="B76" s="72" t="s">
        <v>1039</v>
      </c>
      <c r="C76" s="72" t="s">
        <v>130</v>
      </c>
      <c r="D76" s="70" t="s">
        <v>101</v>
      </c>
      <c r="E76" s="109" t="n">
        <v>19460000</v>
      </c>
      <c r="F76" s="109" t="n">
        <v>1743000</v>
      </c>
      <c r="G76" s="71" t="n">
        <v>45456</v>
      </c>
      <c r="H76" s="72" t="s">
        <v>112</v>
      </c>
      <c r="I76" s="70" t="s">
        <v>239</v>
      </c>
      <c r="J76" s="70" t="s">
        <v>92</v>
      </c>
      <c r="K76" s="110"/>
    </row>
    <row r="77" customFormat="false" ht="15" hidden="false" customHeight="true" outlineLevel="0" collapsed="false">
      <c r="A77" s="75" t="s">
        <v>1682</v>
      </c>
      <c r="B77" s="77" t="s">
        <v>1388</v>
      </c>
      <c r="C77" s="77" t="s">
        <v>109</v>
      </c>
      <c r="D77" s="75" t="s">
        <v>174</v>
      </c>
      <c r="E77" s="111" t="n">
        <v>12320000</v>
      </c>
      <c r="F77" s="111" t="n">
        <v>1279000</v>
      </c>
      <c r="G77" s="76" t="n">
        <v>45491</v>
      </c>
      <c r="H77" s="77" t="s">
        <v>148</v>
      </c>
      <c r="I77" s="75" t="s">
        <v>214</v>
      </c>
      <c r="J77" s="75" t="s">
        <v>85</v>
      </c>
      <c r="K77" s="112" t="s">
        <v>494</v>
      </c>
    </row>
    <row r="78" customFormat="false" ht="15" hidden="false" customHeight="true" outlineLevel="0" collapsed="false">
      <c r="A78" s="70" t="s">
        <v>1683</v>
      </c>
      <c r="B78" s="72" t="s">
        <v>1391</v>
      </c>
      <c r="C78" s="72" t="s">
        <v>130</v>
      </c>
      <c r="D78" s="70" t="s">
        <v>131</v>
      </c>
      <c r="E78" s="109" t="n">
        <v>10240000</v>
      </c>
      <c r="F78" s="109" t="n">
        <v>1076000</v>
      </c>
      <c r="G78" s="71" t="n">
        <v>45533</v>
      </c>
      <c r="H78" s="72" t="s">
        <v>93</v>
      </c>
      <c r="I78" s="70" t="s">
        <v>108</v>
      </c>
      <c r="J78" s="70" t="s">
        <v>119</v>
      </c>
      <c r="K78" s="110"/>
    </row>
    <row r="79" customFormat="false" ht="15" hidden="false" customHeight="true" outlineLevel="0" collapsed="false">
      <c r="A79" s="75" t="s">
        <v>1684</v>
      </c>
      <c r="B79" s="77" t="s">
        <v>1374</v>
      </c>
      <c r="C79" s="77" t="s">
        <v>159</v>
      </c>
      <c r="D79" s="75" t="s">
        <v>174</v>
      </c>
      <c r="E79" s="111" t="n">
        <v>12040000</v>
      </c>
      <c r="F79" s="111" t="n">
        <v>1232000</v>
      </c>
      <c r="G79" s="76" t="n">
        <v>45656</v>
      </c>
      <c r="H79" s="77" t="s">
        <v>170</v>
      </c>
      <c r="I79" s="75" t="s">
        <v>239</v>
      </c>
      <c r="J79" s="75" t="s">
        <v>119</v>
      </c>
      <c r="K79" s="112"/>
    </row>
    <row r="80" customFormat="false" ht="15" hidden="false" customHeight="true" outlineLevel="0" collapsed="false">
      <c r="A80" s="70" t="s">
        <v>1685</v>
      </c>
      <c r="B80" s="72" t="s">
        <v>1404</v>
      </c>
      <c r="C80" s="72" t="s">
        <v>100</v>
      </c>
      <c r="D80" s="70" t="s">
        <v>131</v>
      </c>
      <c r="E80" s="109" t="n">
        <v>13950000</v>
      </c>
      <c r="F80" s="109" t="n">
        <v>1661000</v>
      </c>
      <c r="G80" s="71" t="n">
        <v>45523</v>
      </c>
      <c r="H80" s="72" t="s">
        <v>178</v>
      </c>
      <c r="I80" s="70" t="s">
        <v>165</v>
      </c>
      <c r="J80" s="70" t="s">
        <v>137</v>
      </c>
      <c r="K80" s="110"/>
    </row>
    <row r="81" customFormat="false" ht="15" hidden="false" customHeight="true" outlineLevel="0" collapsed="false">
      <c r="A81" s="75" t="s">
        <v>1686</v>
      </c>
      <c r="B81" s="77" t="s">
        <v>1436</v>
      </c>
      <c r="C81" s="77" t="s">
        <v>130</v>
      </c>
      <c r="D81" s="75" t="s">
        <v>91</v>
      </c>
      <c r="E81" s="111" t="n">
        <v>9690000</v>
      </c>
      <c r="F81" s="111" t="n">
        <v>1158000</v>
      </c>
      <c r="G81" s="76" t="n">
        <v>45641</v>
      </c>
      <c r="H81" s="77" t="s">
        <v>209</v>
      </c>
      <c r="I81" s="75" t="s">
        <v>129</v>
      </c>
      <c r="J81" s="75" t="s">
        <v>160</v>
      </c>
      <c r="K81" s="112"/>
    </row>
    <row r="82" customFormat="false" ht="15" hidden="false" customHeight="true" outlineLevel="0" collapsed="false">
      <c r="A82" s="70" t="s">
        <v>1687</v>
      </c>
      <c r="B82" s="72" t="s">
        <v>1444</v>
      </c>
      <c r="C82" s="72" t="s">
        <v>109</v>
      </c>
      <c r="D82" s="70" t="s">
        <v>91</v>
      </c>
      <c r="E82" s="109" t="n">
        <v>9730000</v>
      </c>
      <c r="F82" s="109" t="n">
        <v>1022000</v>
      </c>
      <c r="G82" s="71" t="n">
        <v>45418</v>
      </c>
      <c r="H82" s="72" t="s">
        <v>191</v>
      </c>
      <c r="I82" s="70" t="s">
        <v>129</v>
      </c>
      <c r="J82" s="70" t="s">
        <v>102</v>
      </c>
      <c r="K82" s="110"/>
    </row>
    <row r="83" customFormat="false" ht="15" hidden="false" customHeight="true" outlineLevel="0" collapsed="false">
      <c r="A83" s="75" t="s">
        <v>1688</v>
      </c>
      <c r="B83" s="77" t="s">
        <v>1478</v>
      </c>
      <c r="C83" s="77" t="s">
        <v>90</v>
      </c>
      <c r="D83" s="75" t="s">
        <v>131</v>
      </c>
      <c r="E83" s="111" t="n">
        <v>11130000</v>
      </c>
      <c r="F83" s="111" t="n">
        <v>941000</v>
      </c>
      <c r="G83" s="76" t="n">
        <v>45688</v>
      </c>
      <c r="H83" s="77" t="s">
        <v>93</v>
      </c>
      <c r="I83" s="75" t="s">
        <v>141</v>
      </c>
      <c r="J83" s="75" t="s">
        <v>119</v>
      </c>
      <c r="K83" s="112"/>
    </row>
    <row r="84" customFormat="false" ht="15" hidden="false" customHeight="true" outlineLevel="0" collapsed="false">
      <c r="A84" s="70" t="s">
        <v>1689</v>
      </c>
      <c r="B84" s="72" t="s">
        <v>1493</v>
      </c>
      <c r="C84" s="72" t="s">
        <v>159</v>
      </c>
      <c r="D84" s="70" t="s">
        <v>110</v>
      </c>
      <c r="E84" s="109" t="n">
        <v>29960000</v>
      </c>
      <c r="F84" s="109" t="n">
        <v>2993000</v>
      </c>
      <c r="G84" s="71" t="n">
        <v>45723</v>
      </c>
      <c r="H84" s="72" t="s">
        <v>191</v>
      </c>
      <c r="I84" s="70" t="s">
        <v>108</v>
      </c>
      <c r="J84" s="70" t="s">
        <v>111</v>
      </c>
      <c r="K84" s="110"/>
    </row>
    <row r="85" customFormat="false" ht="15" hidden="false" customHeight="true" outlineLevel="0" collapsed="false">
      <c r="A85" s="75" t="s">
        <v>1690</v>
      </c>
      <c r="B85" s="77" t="s">
        <v>1523</v>
      </c>
      <c r="C85" s="77" t="s">
        <v>166</v>
      </c>
      <c r="D85" s="75" t="s">
        <v>101</v>
      </c>
      <c r="E85" s="111" t="n">
        <v>16360000</v>
      </c>
      <c r="F85" s="111" t="n">
        <v>1344000</v>
      </c>
      <c r="G85" s="76" t="n">
        <v>45694</v>
      </c>
      <c r="H85" s="77" t="s">
        <v>209</v>
      </c>
      <c r="I85" s="75" t="s">
        <v>129</v>
      </c>
      <c r="J85" s="75" t="s">
        <v>111</v>
      </c>
      <c r="K85" s="112"/>
    </row>
    <row r="86" customFormat="false" ht="15" hidden="false" customHeight="true" outlineLevel="0" collapsed="false">
      <c r="A86" s="70" t="s">
        <v>1691</v>
      </c>
      <c r="B86" s="72" t="s">
        <v>222</v>
      </c>
      <c r="C86" s="72" t="s">
        <v>109</v>
      </c>
      <c r="D86" s="70" t="s">
        <v>101</v>
      </c>
      <c r="E86" s="109" t="n">
        <v>19650000</v>
      </c>
      <c r="F86" s="109" t="n">
        <v>1770000</v>
      </c>
      <c r="G86" s="71" t="n">
        <v>45775</v>
      </c>
      <c r="H86" s="72" t="s">
        <v>178</v>
      </c>
      <c r="I86" s="70" t="s">
        <v>99</v>
      </c>
      <c r="J86" s="70" t="s">
        <v>160</v>
      </c>
      <c r="K86" s="110"/>
    </row>
    <row r="87" customFormat="false" ht="15" hidden="false" customHeight="true" outlineLevel="0" collapsed="false">
      <c r="A87" s="75" t="s">
        <v>1692</v>
      </c>
      <c r="B87" s="77" t="s">
        <v>1552</v>
      </c>
      <c r="C87" s="77" t="s">
        <v>109</v>
      </c>
      <c r="D87" s="75" t="s">
        <v>91</v>
      </c>
      <c r="E87" s="111" t="n">
        <v>9680000</v>
      </c>
      <c r="F87" s="111" t="n">
        <v>950000</v>
      </c>
      <c r="G87" s="76" t="n">
        <v>45482</v>
      </c>
      <c r="H87" s="77" t="s">
        <v>209</v>
      </c>
      <c r="I87" s="75" t="s">
        <v>214</v>
      </c>
      <c r="J87" s="75" t="s">
        <v>119</v>
      </c>
      <c r="K87" s="112"/>
    </row>
    <row r="88" customFormat="false" ht="15" hidden="false" customHeight="true" outlineLevel="0" collapsed="false">
      <c r="A88" s="70" t="s">
        <v>1693</v>
      </c>
      <c r="B88" s="72" t="s">
        <v>1566</v>
      </c>
      <c r="C88" s="72" t="s">
        <v>166</v>
      </c>
      <c r="D88" s="70" t="s">
        <v>174</v>
      </c>
      <c r="E88" s="109" t="n">
        <v>16510000</v>
      </c>
      <c r="F88" s="109" t="n">
        <v>1437000</v>
      </c>
      <c r="G88" s="71" t="n">
        <v>45614</v>
      </c>
      <c r="H88" s="72" t="s">
        <v>148</v>
      </c>
      <c r="I88" s="70" t="s">
        <v>108</v>
      </c>
      <c r="J88" s="70" t="s">
        <v>119</v>
      </c>
      <c r="K88" s="110"/>
    </row>
    <row r="89" customFormat="false" ht="15" hidden="false" customHeight="true" outlineLevel="0" collapsed="false">
      <c r="A89" s="97" t="s">
        <v>1694</v>
      </c>
      <c r="B89" s="97"/>
      <c r="C89" s="97"/>
      <c r="D89" s="97"/>
      <c r="E89" s="99" t="n">
        <f aca="false">SUM(E4:E88)</f>
        <v>1226640000</v>
      </c>
      <c r="F89" s="99" t="n">
        <f aca="false">SUM(F4:F88)</f>
        <v>119971000</v>
      </c>
      <c r="G89" s="101"/>
      <c r="H89" s="101"/>
      <c r="I89" s="101"/>
      <c r="J89" s="101"/>
    </row>
  </sheetData>
  <mergeCells count="3">
    <mergeCell ref="A1:J1"/>
    <mergeCell ref="A2:J2"/>
    <mergeCell ref="A89:D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6" min="3" style="1" width="18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4"/>
  </cols>
  <sheetData>
    <row r="1" customFormat="false" ht="31.5" hidden="false" customHeight="true" outlineLevel="0" collapsed="false">
      <c r="A1" s="68" t="s">
        <v>1695</v>
      </c>
      <c r="B1" s="68"/>
      <c r="C1" s="68"/>
      <c r="D1" s="68"/>
      <c r="E1" s="68"/>
      <c r="F1" s="68"/>
      <c r="G1" s="68"/>
      <c r="H1" s="68"/>
      <c r="I1" s="68"/>
    </row>
    <row r="2" customFormat="false" ht="18" hidden="false" customHeight="true" outlineLevel="0" collapsed="false">
      <c r="A2" s="4" t="s">
        <v>1696</v>
      </c>
      <c r="B2" s="4"/>
      <c r="C2" s="4"/>
      <c r="D2" s="4"/>
      <c r="E2" s="4"/>
      <c r="F2" s="4"/>
      <c r="G2" s="4"/>
      <c r="H2" s="4"/>
      <c r="I2" s="4"/>
    </row>
    <row r="3" customFormat="false" ht="19.5" hidden="false" customHeight="true" outlineLevel="0" collapsed="false">
      <c r="A3" s="69" t="s">
        <v>1605</v>
      </c>
      <c r="B3" s="69" t="s">
        <v>72</v>
      </c>
      <c r="C3" s="69" t="s">
        <v>76</v>
      </c>
      <c r="D3" s="69" t="s">
        <v>1697</v>
      </c>
      <c r="E3" s="69" t="s">
        <v>1698</v>
      </c>
      <c r="F3" s="69" t="s">
        <v>1699</v>
      </c>
      <c r="G3" s="69" t="s">
        <v>1700</v>
      </c>
      <c r="H3" s="69" t="s">
        <v>1701</v>
      </c>
      <c r="I3" s="69" t="s">
        <v>1702</v>
      </c>
    </row>
    <row r="4" customFormat="false" ht="15" hidden="false" customHeight="true" outlineLevel="0" collapsed="false">
      <c r="A4" s="70" t="s">
        <v>1609</v>
      </c>
      <c r="B4" s="72" t="s">
        <v>122</v>
      </c>
      <c r="C4" s="72" t="s">
        <v>100</v>
      </c>
      <c r="D4" s="109" t="n">
        <v>30140000</v>
      </c>
      <c r="E4" s="109" t="n">
        <v>25514000</v>
      </c>
      <c r="F4" s="89" t="n">
        <f aca="false">D4-E4</f>
        <v>4626000</v>
      </c>
      <c r="G4" s="90" t="n">
        <f aca="false">IFERROR(E4/D4,0)</f>
        <v>0.846516257465163</v>
      </c>
      <c r="H4" s="70" t="s">
        <v>1703</v>
      </c>
      <c r="I4" s="71" t="n">
        <v>45502</v>
      </c>
    </row>
    <row r="5" customFormat="false" ht="15" hidden="false" customHeight="true" outlineLevel="0" collapsed="false">
      <c r="A5" s="75" t="s">
        <v>1610</v>
      </c>
      <c r="B5" s="77" t="s">
        <v>222</v>
      </c>
      <c r="C5" s="77" t="s">
        <v>186</v>
      </c>
      <c r="D5" s="111" t="n">
        <v>12380000</v>
      </c>
      <c r="E5" s="111" t="n">
        <v>8006000</v>
      </c>
      <c r="F5" s="94" t="n">
        <f aca="false">D5-E5</f>
        <v>4374000</v>
      </c>
      <c r="G5" s="95" t="n">
        <f aca="false">IFERROR(E5/D5,0)</f>
        <v>0.646688206785137</v>
      </c>
      <c r="H5" s="75" t="s">
        <v>1703</v>
      </c>
      <c r="I5" s="76" t="n">
        <v>45769</v>
      </c>
    </row>
    <row r="6" customFormat="false" ht="15" hidden="false" customHeight="true" outlineLevel="0" collapsed="false">
      <c r="A6" s="70" t="s">
        <v>1611</v>
      </c>
      <c r="B6" s="72" t="s">
        <v>231</v>
      </c>
      <c r="C6" s="72" t="s">
        <v>109</v>
      </c>
      <c r="D6" s="109" t="n">
        <v>35790000</v>
      </c>
      <c r="E6" s="109" t="n">
        <v>27364000</v>
      </c>
      <c r="F6" s="89" t="n">
        <f aca="false">D6-E6</f>
        <v>8426000</v>
      </c>
      <c r="G6" s="90" t="n">
        <f aca="false">IFERROR(E6/D6,0)</f>
        <v>0.764571109248393</v>
      </c>
      <c r="H6" s="70" t="s">
        <v>1703</v>
      </c>
      <c r="I6" s="71" t="n">
        <v>45633</v>
      </c>
    </row>
    <row r="7" customFormat="false" ht="15" hidden="false" customHeight="true" outlineLevel="0" collapsed="false">
      <c r="A7" s="75" t="s">
        <v>1612</v>
      </c>
      <c r="B7" s="77" t="s">
        <v>234</v>
      </c>
      <c r="C7" s="77" t="s">
        <v>100</v>
      </c>
      <c r="D7" s="111" t="n">
        <v>8230000</v>
      </c>
      <c r="E7" s="111" t="n">
        <v>5724000</v>
      </c>
      <c r="F7" s="94" t="n">
        <f aca="false">D7-E7</f>
        <v>2506000</v>
      </c>
      <c r="G7" s="95" t="n">
        <f aca="false">IFERROR(E7/D7,0)</f>
        <v>0.6955042527339</v>
      </c>
      <c r="H7" s="75" t="s">
        <v>1703</v>
      </c>
      <c r="I7" s="76" t="n">
        <v>45562</v>
      </c>
    </row>
    <row r="8" customFormat="false" ht="15" hidden="false" customHeight="true" outlineLevel="0" collapsed="false">
      <c r="A8" s="70" t="s">
        <v>1613</v>
      </c>
      <c r="B8" s="72" t="s">
        <v>242</v>
      </c>
      <c r="C8" s="72" t="s">
        <v>195</v>
      </c>
      <c r="D8" s="109" t="n">
        <v>5200000</v>
      </c>
      <c r="E8" s="109" t="n">
        <v>1252000</v>
      </c>
      <c r="F8" s="89" t="n">
        <f aca="false">D8-E8</f>
        <v>3948000</v>
      </c>
      <c r="G8" s="90" t="n">
        <f aca="false">IFERROR(E8/D8,0)</f>
        <v>0.240769230769231</v>
      </c>
      <c r="H8" s="70" t="s">
        <v>1704</v>
      </c>
      <c r="I8" s="71" t="n">
        <v>45663</v>
      </c>
    </row>
    <row r="9" customFormat="false" ht="15" hidden="false" customHeight="true" outlineLevel="0" collapsed="false">
      <c r="A9" s="75" t="s">
        <v>1614</v>
      </c>
      <c r="B9" s="77" t="s">
        <v>281</v>
      </c>
      <c r="C9" s="77" t="s">
        <v>195</v>
      </c>
      <c r="D9" s="111" t="n">
        <v>5610000</v>
      </c>
      <c r="E9" s="111" t="n">
        <v>1343000</v>
      </c>
      <c r="F9" s="94" t="n">
        <f aca="false">D9-E9</f>
        <v>4267000</v>
      </c>
      <c r="G9" s="95" t="n">
        <f aca="false">IFERROR(E9/D9,0)</f>
        <v>0.239393939393939</v>
      </c>
      <c r="H9" s="75" t="s">
        <v>1704</v>
      </c>
      <c r="I9" s="76" t="n">
        <v>45532</v>
      </c>
    </row>
    <row r="10" customFormat="false" ht="15" hidden="false" customHeight="true" outlineLevel="0" collapsed="false">
      <c r="A10" s="70" t="s">
        <v>1615</v>
      </c>
      <c r="B10" s="72" t="s">
        <v>290</v>
      </c>
      <c r="C10" s="72" t="s">
        <v>159</v>
      </c>
      <c r="D10" s="109" t="n">
        <v>19890000</v>
      </c>
      <c r="E10" s="109" t="n">
        <v>11083000</v>
      </c>
      <c r="F10" s="89" t="n">
        <f aca="false">D10-E10</f>
        <v>8807000</v>
      </c>
      <c r="G10" s="90" t="n">
        <f aca="false">IFERROR(E10/D10,0)</f>
        <v>0.557214680744093</v>
      </c>
      <c r="H10" s="70" t="s">
        <v>1703</v>
      </c>
      <c r="I10" s="71" t="n">
        <v>45563</v>
      </c>
    </row>
    <row r="11" customFormat="false" ht="15" hidden="false" customHeight="true" outlineLevel="0" collapsed="false">
      <c r="A11" s="75" t="s">
        <v>1616</v>
      </c>
      <c r="B11" s="77" t="s">
        <v>106</v>
      </c>
      <c r="C11" s="77" t="s">
        <v>100</v>
      </c>
      <c r="D11" s="111" t="n">
        <v>6730000</v>
      </c>
      <c r="E11" s="111" t="n">
        <v>4908000</v>
      </c>
      <c r="F11" s="94" t="n">
        <f aca="false">D11-E11</f>
        <v>1822000</v>
      </c>
      <c r="G11" s="95" t="n">
        <f aca="false">IFERROR(E11/D11,0)</f>
        <v>0.72927191679049</v>
      </c>
      <c r="H11" s="75" t="s">
        <v>1703</v>
      </c>
      <c r="I11" s="76" t="n">
        <v>45805</v>
      </c>
    </row>
    <row r="12" customFormat="false" ht="15" hidden="false" customHeight="true" outlineLevel="0" collapsed="false">
      <c r="A12" s="70" t="s">
        <v>1617</v>
      </c>
      <c r="B12" s="72" t="s">
        <v>353</v>
      </c>
      <c r="C12" s="72" t="s">
        <v>130</v>
      </c>
      <c r="D12" s="109" t="n">
        <v>13480000</v>
      </c>
      <c r="E12" s="109" t="n">
        <v>11495000</v>
      </c>
      <c r="F12" s="89" t="n">
        <f aca="false">D12-E12</f>
        <v>1985000</v>
      </c>
      <c r="G12" s="90" t="n">
        <f aca="false">IFERROR(E12/D12,0)</f>
        <v>0.852744807121662</v>
      </c>
      <c r="H12" s="70" t="s">
        <v>1703</v>
      </c>
      <c r="I12" s="71" t="n">
        <v>45462</v>
      </c>
    </row>
    <row r="13" customFormat="false" ht="15" hidden="false" customHeight="true" outlineLevel="0" collapsed="false">
      <c r="A13" s="75" t="s">
        <v>1618</v>
      </c>
      <c r="B13" s="77" t="s">
        <v>364</v>
      </c>
      <c r="C13" s="77" t="s">
        <v>100</v>
      </c>
      <c r="D13" s="111" t="n">
        <v>16100000</v>
      </c>
      <c r="E13" s="111" t="n">
        <v>7833000</v>
      </c>
      <c r="F13" s="94" t="n">
        <f aca="false">D13-E13</f>
        <v>8267000</v>
      </c>
      <c r="G13" s="95" t="n">
        <f aca="false">IFERROR(E13/D13,0)</f>
        <v>0.486521739130435</v>
      </c>
      <c r="H13" s="75" t="s">
        <v>1705</v>
      </c>
      <c r="I13" s="76" t="n">
        <v>45608</v>
      </c>
    </row>
    <row r="14" customFormat="false" ht="15" hidden="false" customHeight="true" outlineLevel="0" collapsed="false">
      <c r="A14" s="70" t="s">
        <v>1619</v>
      </c>
      <c r="B14" s="72" t="s">
        <v>370</v>
      </c>
      <c r="C14" s="72" t="s">
        <v>186</v>
      </c>
      <c r="D14" s="109" t="n">
        <v>7820000</v>
      </c>
      <c r="E14" s="109" t="n">
        <v>7170000</v>
      </c>
      <c r="F14" s="89" t="n">
        <f aca="false">D14-E14</f>
        <v>650000</v>
      </c>
      <c r="G14" s="90" t="n">
        <f aca="false">IFERROR(E14/D14,0)</f>
        <v>0.916879795396419</v>
      </c>
      <c r="H14" s="70" t="s">
        <v>1703</v>
      </c>
      <c r="I14" s="71" t="n">
        <v>45690</v>
      </c>
    </row>
    <row r="15" customFormat="false" ht="15" hidden="false" customHeight="true" outlineLevel="0" collapsed="false">
      <c r="A15" s="75" t="s">
        <v>1620</v>
      </c>
      <c r="B15" s="77" t="s">
        <v>376</v>
      </c>
      <c r="C15" s="77" t="s">
        <v>90</v>
      </c>
      <c r="D15" s="111" t="n">
        <v>10320000</v>
      </c>
      <c r="E15" s="111" t="n">
        <v>4803000</v>
      </c>
      <c r="F15" s="94" t="n">
        <f aca="false">D15-E15</f>
        <v>5517000</v>
      </c>
      <c r="G15" s="95" t="n">
        <f aca="false">IFERROR(E15/D15,0)</f>
        <v>0.465406976744186</v>
      </c>
      <c r="H15" s="75" t="s">
        <v>1705</v>
      </c>
      <c r="I15" s="76" t="n">
        <v>45779</v>
      </c>
    </row>
    <row r="16" customFormat="false" ht="15" hidden="false" customHeight="true" outlineLevel="0" collapsed="false">
      <c r="A16" s="70" t="s">
        <v>1621</v>
      </c>
      <c r="B16" s="72" t="s">
        <v>379</v>
      </c>
      <c r="C16" s="72" t="s">
        <v>100</v>
      </c>
      <c r="D16" s="109" t="n">
        <v>36160000</v>
      </c>
      <c r="E16" s="109" t="n">
        <v>30511000</v>
      </c>
      <c r="F16" s="89" t="n">
        <f aca="false">D16-E16</f>
        <v>5649000</v>
      </c>
      <c r="G16" s="90" t="n">
        <f aca="false">IFERROR(E16/D16,0)</f>
        <v>0.843777654867257</v>
      </c>
      <c r="H16" s="70" t="s">
        <v>1703</v>
      </c>
      <c r="I16" s="71" t="n">
        <v>45734</v>
      </c>
    </row>
    <row r="17" customFormat="false" ht="15" hidden="false" customHeight="true" outlineLevel="0" collapsed="false">
      <c r="A17" s="75" t="s">
        <v>1622</v>
      </c>
      <c r="B17" s="77" t="s">
        <v>432</v>
      </c>
      <c r="C17" s="77" t="s">
        <v>166</v>
      </c>
      <c r="D17" s="111" t="n">
        <v>18810000</v>
      </c>
      <c r="E17" s="111" t="n">
        <v>7364000</v>
      </c>
      <c r="F17" s="94" t="n">
        <f aca="false">D17-E17</f>
        <v>11446000</v>
      </c>
      <c r="G17" s="95" t="n">
        <f aca="false">IFERROR(E17/D17,0)</f>
        <v>0.391493886230728</v>
      </c>
      <c r="H17" s="75" t="s">
        <v>1705</v>
      </c>
      <c r="I17" s="76" t="n">
        <v>45791</v>
      </c>
    </row>
    <row r="18" customFormat="false" ht="15" hidden="false" customHeight="true" outlineLevel="0" collapsed="false">
      <c r="A18" s="70" t="s">
        <v>1623</v>
      </c>
      <c r="B18" s="72" t="s">
        <v>440</v>
      </c>
      <c r="C18" s="72" t="s">
        <v>159</v>
      </c>
      <c r="D18" s="109" t="n">
        <v>31800000</v>
      </c>
      <c r="E18" s="109" t="n">
        <v>24226000</v>
      </c>
      <c r="F18" s="89" t="n">
        <f aca="false">D18-E18</f>
        <v>7574000</v>
      </c>
      <c r="G18" s="90" t="n">
        <f aca="false">IFERROR(E18/D18,0)</f>
        <v>0.761823899371069</v>
      </c>
      <c r="H18" s="70" t="s">
        <v>1703</v>
      </c>
      <c r="I18" s="71" t="n">
        <v>45590</v>
      </c>
    </row>
    <row r="19" customFormat="false" ht="15" hidden="false" customHeight="true" outlineLevel="0" collapsed="false">
      <c r="A19" s="75" t="s">
        <v>1624</v>
      </c>
      <c r="B19" s="77" t="s">
        <v>446</v>
      </c>
      <c r="C19" s="77" t="s">
        <v>159</v>
      </c>
      <c r="D19" s="111" t="n">
        <v>13640000</v>
      </c>
      <c r="E19" s="111" t="n">
        <v>9790000</v>
      </c>
      <c r="F19" s="94" t="n">
        <f aca="false">D19-E19</f>
        <v>3850000</v>
      </c>
      <c r="G19" s="95" t="n">
        <f aca="false">IFERROR(E19/D19,0)</f>
        <v>0.717741935483871</v>
      </c>
      <c r="H19" s="75" t="s">
        <v>1703</v>
      </c>
      <c r="I19" s="76" t="n">
        <v>45774</v>
      </c>
    </row>
    <row r="20" customFormat="false" ht="15" hidden="false" customHeight="true" outlineLevel="0" collapsed="false">
      <c r="A20" s="70" t="s">
        <v>1625</v>
      </c>
      <c r="B20" s="72" t="s">
        <v>459</v>
      </c>
      <c r="C20" s="72" t="s">
        <v>109</v>
      </c>
      <c r="D20" s="109" t="n">
        <v>25020000</v>
      </c>
      <c r="E20" s="109" t="n">
        <v>17629000</v>
      </c>
      <c r="F20" s="89" t="n">
        <f aca="false">D20-E20</f>
        <v>7391000</v>
      </c>
      <c r="G20" s="90" t="n">
        <f aca="false">IFERROR(E20/D20,0)</f>
        <v>0.704596322941647</v>
      </c>
      <c r="H20" s="70" t="s">
        <v>1703</v>
      </c>
      <c r="I20" s="71" t="n">
        <v>45577</v>
      </c>
    </row>
    <row r="21" customFormat="false" ht="15" hidden="false" customHeight="true" outlineLevel="0" collapsed="false">
      <c r="A21" s="75" t="s">
        <v>1626</v>
      </c>
      <c r="B21" s="77" t="s">
        <v>474</v>
      </c>
      <c r="C21" s="77" t="s">
        <v>195</v>
      </c>
      <c r="D21" s="111" t="n">
        <v>12570000</v>
      </c>
      <c r="E21" s="111" t="n">
        <v>7466000</v>
      </c>
      <c r="F21" s="94" t="n">
        <f aca="false">D21-E21</f>
        <v>5104000</v>
      </c>
      <c r="G21" s="95" t="n">
        <f aca="false">IFERROR(E21/D21,0)</f>
        <v>0.593953858392999</v>
      </c>
      <c r="H21" s="75" t="s">
        <v>1703</v>
      </c>
      <c r="I21" s="76" t="n">
        <v>45767</v>
      </c>
    </row>
    <row r="22" customFormat="false" ht="15" hidden="false" customHeight="true" outlineLevel="0" collapsed="false">
      <c r="A22" s="70" t="s">
        <v>1627</v>
      </c>
      <c r="B22" s="72" t="s">
        <v>480</v>
      </c>
      <c r="C22" s="72" t="s">
        <v>186</v>
      </c>
      <c r="D22" s="109" t="n">
        <v>21750000</v>
      </c>
      <c r="E22" s="109" t="n">
        <v>16181000</v>
      </c>
      <c r="F22" s="89" t="n">
        <f aca="false">D22-E22</f>
        <v>5569000</v>
      </c>
      <c r="G22" s="90" t="n">
        <f aca="false">IFERROR(E22/D22,0)</f>
        <v>0.743954022988506</v>
      </c>
      <c r="H22" s="70" t="s">
        <v>1703</v>
      </c>
      <c r="I22" s="71" t="n">
        <v>45561</v>
      </c>
    </row>
    <row r="23" customFormat="false" ht="15" hidden="false" customHeight="true" outlineLevel="0" collapsed="false">
      <c r="A23" s="75" t="s">
        <v>1628</v>
      </c>
      <c r="B23" s="77" t="s">
        <v>489</v>
      </c>
      <c r="C23" s="77" t="s">
        <v>159</v>
      </c>
      <c r="D23" s="111" t="n">
        <v>14110000</v>
      </c>
      <c r="E23" s="111" t="n">
        <v>9377000</v>
      </c>
      <c r="F23" s="94" t="n">
        <f aca="false">D23-E23</f>
        <v>4733000</v>
      </c>
      <c r="G23" s="95" t="n">
        <f aca="false">IFERROR(E23/D23,0)</f>
        <v>0.664564138908576</v>
      </c>
      <c r="H23" s="75" t="s">
        <v>1703</v>
      </c>
      <c r="I23" s="76" t="n">
        <v>45779</v>
      </c>
    </row>
    <row r="24" customFormat="false" ht="15" hidden="false" customHeight="true" outlineLevel="0" collapsed="false">
      <c r="A24" s="70" t="s">
        <v>1629</v>
      </c>
      <c r="B24" s="72" t="s">
        <v>514</v>
      </c>
      <c r="C24" s="72" t="s">
        <v>186</v>
      </c>
      <c r="D24" s="109" t="n">
        <v>6740000</v>
      </c>
      <c r="E24" s="109" t="n">
        <v>5867000</v>
      </c>
      <c r="F24" s="89" t="n">
        <f aca="false">D24-E24</f>
        <v>873000</v>
      </c>
      <c r="G24" s="90" t="n">
        <f aca="false">IFERROR(E24/D24,0)</f>
        <v>0.870474777448071</v>
      </c>
      <c r="H24" s="70" t="s">
        <v>1703</v>
      </c>
      <c r="I24" s="71" t="n">
        <v>45558</v>
      </c>
    </row>
    <row r="25" customFormat="false" ht="15" hidden="false" customHeight="true" outlineLevel="0" collapsed="false">
      <c r="A25" s="75" t="s">
        <v>1630</v>
      </c>
      <c r="B25" s="77" t="s">
        <v>520</v>
      </c>
      <c r="C25" s="77" t="s">
        <v>186</v>
      </c>
      <c r="D25" s="111" t="n">
        <v>17820000</v>
      </c>
      <c r="E25" s="111" t="n">
        <v>5192000</v>
      </c>
      <c r="F25" s="94" t="n">
        <f aca="false">D25-E25</f>
        <v>12628000</v>
      </c>
      <c r="G25" s="95" t="n">
        <f aca="false">IFERROR(E25/D25,0)</f>
        <v>0.291358024691358</v>
      </c>
      <c r="H25" s="75" t="s">
        <v>1705</v>
      </c>
      <c r="I25" s="76" t="n">
        <v>45819</v>
      </c>
    </row>
    <row r="26" customFormat="false" ht="15" hidden="false" customHeight="true" outlineLevel="0" collapsed="false">
      <c r="A26" s="70" t="s">
        <v>1631</v>
      </c>
      <c r="B26" s="72" t="s">
        <v>529</v>
      </c>
      <c r="C26" s="72" t="s">
        <v>195</v>
      </c>
      <c r="D26" s="109" t="n">
        <v>10510000</v>
      </c>
      <c r="E26" s="109" t="n">
        <v>3126000</v>
      </c>
      <c r="F26" s="89" t="n">
        <f aca="false">D26-E26</f>
        <v>7384000</v>
      </c>
      <c r="G26" s="90" t="n">
        <f aca="false">IFERROR(E26/D26,0)</f>
        <v>0.297431018078021</v>
      </c>
      <c r="H26" s="70" t="s">
        <v>1705</v>
      </c>
      <c r="I26" s="71" t="n">
        <v>45584</v>
      </c>
    </row>
    <row r="27" customFormat="false" ht="15" hidden="false" customHeight="true" outlineLevel="0" collapsed="false">
      <c r="A27" s="75" t="s">
        <v>1632</v>
      </c>
      <c r="B27" s="77" t="s">
        <v>290</v>
      </c>
      <c r="C27" s="77" t="s">
        <v>195</v>
      </c>
      <c r="D27" s="111" t="n">
        <v>5270000</v>
      </c>
      <c r="E27" s="111" t="n">
        <v>1782000</v>
      </c>
      <c r="F27" s="94" t="n">
        <f aca="false">D27-E27</f>
        <v>3488000</v>
      </c>
      <c r="G27" s="95" t="n">
        <f aca="false">IFERROR(E27/D27,0)</f>
        <v>0.338140417457306</v>
      </c>
      <c r="H27" s="75" t="s">
        <v>1705</v>
      </c>
      <c r="I27" s="76" t="n">
        <v>45785</v>
      </c>
    </row>
    <row r="28" customFormat="false" ht="15" hidden="false" customHeight="true" outlineLevel="0" collapsed="false">
      <c r="A28" s="70" t="s">
        <v>1633</v>
      </c>
      <c r="B28" s="72" t="s">
        <v>543</v>
      </c>
      <c r="C28" s="72" t="s">
        <v>195</v>
      </c>
      <c r="D28" s="109" t="n">
        <v>11970000</v>
      </c>
      <c r="E28" s="109" t="n">
        <v>8129000</v>
      </c>
      <c r="F28" s="89" t="n">
        <f aca="false">D28-E28</f>
        <v>3841000</v>
      </c>
      <c r="G28" s="90" t="n">
        <f aca="false">IFERROR(E28/D28,0)</f>
        <v>0.679114452798663</v>
      </c>
      <c r="H28" s="70" t="s">
        <v>1703</v>
      </c>
      <c r="I28" s="71" t="n">
        <v>45802</v>
      </c>
    </row>
    <row r="29" customFormat="false" ht="15" hidden="false" customHeight="true" outlineLevel="0" collapsed="false">
      <c r="A29" s="75" t="s">
        <v>1634</v>
      </c>
      <c r="B29" s="77" t="s">
        <v>553</v>
      </c>
      <c r="C29" s="77" t="s">
        <v>195</v>
      </c>
      <c r="D29" s="111" t="n">
        <v>26640000</v>
      </c>
      <c r="E29" s="111" t="n">
        <v>23378000</v>
      </c>
      <c r="F29" s="94" t="n">
        <f aca="false">D29-E29</f>
        <v>3262000</v>
      </c>
      <c r="G29" s="95" t="n">
        <f aca="false">IFERROR(E29/D29,0)</f>
        <v>0.877552552552553</v>
      </c>
      <c r="H29" s="75" t="s">
        <v>1703</v>
      </c>
      <c r="I29" s="76" t="n">
        <v>45726</v>
      </c>
    </row>
    <row r="30" customFormat="false" ht="15" hidden="false" customHeight="true" outlineLevel="0" collapsed="false">
      <c r="A30" s="70" t="s">
        <v>1635</v>
      </c>
      <c r="B30" s="72" t="s">
        <v>556</v>
      </c>
      <c r="C30" s="72" t="s">
        <v>166</v>
      </c>
      <c r="D30" s="109" t="n">
        <v>12210000</v>
      </c>
      <c r="E30" s="109" t="n">
        <v>4981000</v>
      </c>
      <c r="F30" s="89" t="n">
        <f aca="false">D30-E30</f>
        <v>7229000</v>
      </c>
      <c r="G30" s="90" t="n">
        <f aca="false">IFERROR(E30/D30,0)</f>
        <v>0.407944307944308</v>
      </c>
      <c r="H30" s="70" t="s">
        <v>1705</v>
      </c>
      <c r="I30" s="71" t="n">
        <v>45522</v>
      </c>
    </row>
    <row r="31" customFormat="false" ht="15" hidden="false" customHeight="true" outlineLevel="0" collapsed="false">
      <c r="A31" s="75" t="s">
        <v>1636</v>
      </c>
      <c r="B31" s="77" t="s">
        <v>609</v>
      </c>
      <c r="C31" s="77" t="s">
        <v>195</v>
      </c>
      <c r="D31" s="111" t="n">
        <v>4760000</v>
      </c>
      <c r="E31" s="111" t="n">
        <v>4508000</v>
      </c>
      <c r="F31" s="94" t="n">
        <f aca="false">D31-E31</f>
        <v>252000</v>
      </c>
      <c r="G31" s="95" t="n">
        <f aca="false">IFERROR(E31/D31,0)</f>
        <v>0.947058823529412</v>
      </c>
      <c r="H31" s="75" t="s">
        <v>1703</v>
      </c>
      <c r="I31" s="76" t="n">
        <v>45684</v>
      </c>
    </row>
    <row r="32" customFormat="false" ht="15" hidden="false" customHeight="true" outlineLevel="0" collapsed="false">
      <c r="A32" s="70" t="s">
        <v>1637</v>
      </c>
      <c r="B32" s="72" t="s">
        <v>615</v>
      </c>
      <c r="C32" s="72" t="s">
        <v>186</v>
      </c>
      <c r="D32" s="109" t="n">
        <v>11670000</v>
      </c>
      <c r="E32" s="109" t="n">
        <v>3891000</v>
      </c>
      <c r="F32" s="89" t="n">
        <f aca="false">D32-E32</f>
        <v>7779000</v>
      </c>
      <c r="G32" s="90" t="n">
        <f aca="false">IFERROR(E32/D32,0)</f>
        <v>0.333419023136247</v>
      </c>
      <c r="H32" s="70" t="s">
        <v>1705</v>
      </c>
      <c r="I32" s="71" t="n">
        <v>45557</v>
      </c>
    </row>
    <row r="33" customFormat="false" ht="15" hidden="false" customHeight="true" outlineLevel="0" collapsed="false">
      <c r="A33" s="75" t="s">
        <v>1638</v>
      </c>
      <c r="B33" s="77" t="s">
        <v>689</v>
      </c>
      <c r="C33" s="77" t="s">
        <v>186</v>
      </c>
      <c r="D33" s="111" t="n">
        <v>16580000</v>
      </c>
      <c r="E33" s="111" t="n">
        <v>10905000</v>
      </c>
      <c r="F33" s="94" t="n">
        <f aca="false">D33-E33</f>
        <v>5675000</v>
      </c>
      <c r="G33" s="95" t="n">
        <f aca="false">IFERROR(E33/D33,0)</f>
        <v>0.657720144752714</v>
      </c>
      <c r="H33" s="75" t="s">
        <v>1703</v>
      </c>
      <c r="I33" s="76" t="n">
        <v>45469</v>
      </c>
    </row>
    <row r="34" customFormat="false" ht="15" hidden="false" customHeight="true" outlineLevel="0" collapsed="false">
      <c r="A34" s="70" t="s">
        <v>1639</v>
      </c>
      <c r="B34" s="72" t="s">
        <v>648</v>
      </c>
      <c r="C34" s="72" t="s">
        <v>90</v>
      </c>
      <c r="D34" s="109" t="n">
        <v>11000000</v>
      </c>
      <c r="E34" s="109" t="n">
        <v>3387000</v>
      </c>
      <c r="F34" s="89" t="n">
        <f aca="false">D34-E34</f>
        <v>7613000</v>
      </c>
      <c r="G34" s="90" t="n">
        <f aca="false">IFERROR(E34/D34,0)</f>
        <v>0.307909090909091</v>
      </c>
      <c r="H34" s="70" t="s">
        <v>1705</v>
      </c>
      <c r="I34" s="71" t="n">
        <v>45565</v>
      </c>
    </row>
    <row r="35" customFormat="false" ht="15" hidden="false" customHeight="true" outlineLevel="0" collapsed="false">
      <c r="A35" s="75" t="s">
        <v>1640</v>
      </c>
      <c r="B35" s="77" t="s">
        <v>718</v>
      </c>
      <c r="C35" s="77" t="s">
        <v>130</v>
      </c>
      <c r="D35" s="111" t="n">
        <v>22450000</v>
      </c>
      <c r="E35" s="111" t="n">
        <v>15322000</v>
      </c>
      <c r="F35" s="94" t="n">
        <f aca="false">D35-E35</f>
        <v>7128000</v>
      </c>
      <c r="G35" s="95" t="n">
        <f aca="false">IFERROR(E35/D35,0)</f>
        <v>0.68249443207127</v>
      </c>
      <c r="H35" s="75" t="s">
        <v>1703</v>
      </c>
      <c r="I35" s="76" t="n">
        <v>45738</v>
      </c>
    </row>
    <row r="36" customFormat="false" ht="15" hidden="false" customHeight="true" outlineLevel="0" collapsed="false">
      <c r="A36" s="70" t="s">
        <v>1641</v>
      </c>
      <c r="B36" s="72" t="s">
        <v>746</v>
      </c>
      <c r="C36" s="72" t="s">
        <v>130</v>
      </c>
      <c r="D36" s="109" t="n">
        <v>6350000</v>
      </c>
      <c r="E36" s="109" t="n">
        <v>1436000</v>
      </c>
      <c r="F36" s="89" t="n">
        <f aca="false">D36-E36</f>
        <v>4914000</v>
      </c>
      <c r="G36" s="90" t="n">
        <f aca="false">IFERROR(E36/D36,0)</f>
        <v>0.226141732283465</v>
      </c>
      <c r="H36" s="70" t="s">
        <v>1704</v>
      </c>
      <c r="I36" s="71" t="n">
        <v>45668</v>
      </c>
    </row>
    <row r="37" customFormat="false" ht="15" hidden="false" customHeight="true" outlineLevel="0" collapsed="false">
      <c r="A37" s="75" t="s">
        <v>1642</v>
      </c>
      <c r="B37" s="77" t="s">
        <v>749</v>
      </c>
      <c r="C37" s="77" t="s">
        <v>130</v>
      </c>
      <c r="D37" s="111" t="n">
        <v>12590000</v>
      </c>
      <c r="E37" s="111" t="n">
        <v>9857000</v>
      </c>
      <c r="F37" s="94" t="n">
        <f aca="false">D37-E37</f>
        <v>2733000</v>
      </c>
      <c r="G37" s="95" t="n">
        <f aca="false">IFERROR(E37/D37,0)</f>
        <v>0.782922954725973</v>
      </c>
      <c r="H37" s="75" t="s">
        <v>1703</v>
      </c>
      <c r="I37" s="76" t="n">
        <v>45516</v>
      </c>
    </row>
    <row r="38" customFormat="false" ht="15" hidden="false" customHeight="true" outlineLevel="0" collapsed="false">
      <c r="A38" s="70" t="s">
        <v>1643</v>
      </c>
      <c r="B38" s="72" t="s">
        <v>752</v>
      </c>
      <c r="C38" s="72" t="s">
        <v>186</v>
      </c>
      <c r="D38" s="109" t="n">
        <v>9660000</v>
      </c>
      <c r="E38" s="109" t="n">
        <v>6662000</v>
      </c>
      <c r="F38" s="89" t="n">
        <f aca="false">D38-E38</f>
        <v>2998000</v>
      </c>
      <c r="G38" s="90" t="n">
        <f aca="false">IFERROR(E38/D38,0)</f>
        <v>0.689648033126294</v>
      </c>
      <c r="H38" s="70" t="s">
        <v>1703</v>
      </c>
      <c r="I38" s="71" t="n">
        <v>45683</v>
      </c>
    </row>
    <row r="39" customFormat="false" ht="15" hidden="false" customHeight="true" outlineLevel="0" collapsed="false">
      <c r="A39" s="75" t="s">
        <v>1644</v>
      </c>
      <c r="B39" s="77" t="s">
        <v>755</v>
      </c>
      <c r="C39" s="77" t="s">
        <v>186</v>
      </c>
      <c r="D39" s="111" t="n">
        <v>4500000</v>
      </c>
      <c r="E39" s="111" t="n">
        <v>2218000</v>
      </c>
      <c r="F39" s="94" t="n">
        <f aca="false">D39-E39</f>
        <v>2282000</v>
      </c>
      <c r="G39" s="95" t="n">
        <f aca="false">IFERROR(E39/D39,0)</f>
        <v>0.492888888888889</v>
      </c>
      <c r="H39" s="75" t="s">
        <v>1705</v>
      </c>
      <c r="I39" s="76" t="n">
        <v>45541</v>
      </c>
    </row>
    <row r="40" customFormat="false" ht="15" hidden="false" customHeight="true" outlineLevel="0" collapsed="false">
      <c r="A40" s="70" t="s">
        <v>1645</v>
      </c>
      <c r="B40" s="72" t="s">
        <v>456</v>
      </c>
      <c r="C40" s="72" t="s">
        <v>166</v>
      </c>
      <c r="D40" s="109" t="n">
        <v>24540000</v>
      </c>
      <c r="E40" s="109" t="n">
        <v>15484000</v>
      </c>
      <c r="F40" s="89" t="n">
        <f aca="false">D40-E40</f>
        <v>9056000</v>
      </c>
      <c r="G40" s="90" t="n">
        <f aca="false">IFERROR(E40/D40,0)</f>
        <v>0.630969845150774</v>
      </c>
      <c r="H40" s="70" t="s">
        <v>1703</v>
      </c>
      <c r="I40" s="71" t="n">
        <v>45509</v>
      </c>
    </row>
    <row r="41" customFormat="false" ht="15" hidden="false" customHeight="true" outlineLevel="0" collapsed="false">
      <c r="A41" s="75" t="s">
        <v>1646</v>
      </c>
      <c r="B41" s="77" t="s">
        <v>798</v>
      </c>
      <c r="C41" s="77" t="s">
        <v>186</v>
      </c>
      <c r="D41" s="111" t="n">
        <v>16320000</v>
      </c>
      <c r="E41" s="111" t="n">
        <v>9116000</v>
      </c>
      <c r="F41" s="94" t="n">
        <f aca="false">D41-E41</f>
        <v>7204000</v>
      </c>
      <c r="G41" s="95" t="n">
        <f aca="false">IFERROR(E41/D41,0)</f>
        <v>0.558578431372549</v>
      </c>
      <c r="H41" s="75" t="s">
        <v>1703</v>
      </c>
      <c r="I41" s="76" t="n">
        <v>45740</v>
      </c>
    </row>
    <row r="42" customFormat="false" ht="15" hidden="false" customHeight="true" outlineLevel="0" collapsed="false">
      <c r="A42" s="70" t="s">
        <v>1647</v>
      </c>
      <c r="B42" s="72" t="s">
        <v>816</v>
      </c>
      <c r="C42" s="72" t="s">
        <v>159</v>
      </c>
      <c r="D42" s="109" t="n">
        <v>12890000</v>
      </c>
      <c r="E42" s="109" t="n">
        <v>7800000</v>
      </c>
      <c r="F42" s="89" t="n">
        <f aca="false">D42-E42</f>
        <v>5090000</v>
      </c>
      <c r="G42" s="90" t="n">
        <f aca="false">IFERROR(E42/D42,0)</f>
        <v>0.605120248254461</v>
      </c>
      <c r="H42" s="70" t="s">
        <v>1703</v>
      </c>
      <c r="I42" s="71" t="n">
        <v>45712</v>
      </c>
    </row>
    <row r="43" customFormat="false" ht="15" hidden="false" customHeight="true" outlineLevel="0" collapsed="false">
      <c r="A43" s="75" t="s">
        <v>1648</v>
      </c>
      <c r="B43" s="77" t="s">
        <v>827</v>
      </c>
      <c r="C43" s="77" t="s">
        <v>186</v>
      </c>
      <c r="D43" s="111" t="n">
        <v>6510000</v>
      </c>
      <c r="E43" s="111" t="n">
        <v>5296000</v>
      </c>
      <c r="F43" s="94" t="n">
        <f aca="false">D43-E43</f>
        <v>1214000</v>
      </c>
      <c r="G43" s="95" t="n">
        <f aca="false">IFERROR(E43/D43,0)</f>
        <v>0.813517665130568</v>
      </c>
      <c r="H43" s="75" t="s">
        <v>1703</v>
      </c>
      <c r="I43" s="76" t="n">
        <v>45536</v>
      </c>
    </row>
    <row r="44" customFormat="false" ht="15" hidden="false" customHeight="true" outlineLevel="0" collapsed="false">
      <c r="A44" s="70" t="s">
        <v>1649</v>
      </c>
      <c r="B44" s="72" t="s">
        <v>839</v>
      </c>
      <c r="C44" s="72" t="s">
        <v>159</v>
      </c>
      <c r="D44" s="109" t="n">
        <v>30090000</v>
      </c>
      <c r="E44" s="109" t="n">
        <v>27120000</v>
      </c>
      <c r="F44" s="89" t="n">
        <f aca="false">D44-E44</f>
        <v>2970000</v>
      </c>
      <c r="G44" s="90" t="n">
        <f aca="false">IFERROR(E44/D44,0)</f>
        <v>0.901296111665005</v>
      </c>
      <c r="H44" s="70" t="s">
        <v>1703</v>
      </c>
      <c r="I44" s="71" t="n">
        <v>45769</v>
      </c>
    </row>
    <row r="45" customFormat="false" ht="15" hidden="false" customHeight="true" outlineLevel="0" collapsed="false">
      <c r="A45" s="75" t="s">
        <v>1650</v>
      </c>
      <c r="B45" s="77" t="s">
        <v>842</v>
      </c>
      <c r="C45" s="77" t="s">
        <v>90</v>
      </c>
      <c r="D45" s="111" t="n">
        <v>12510000</v>
      </c>
      <c r="E45" s="111" t="n">
        <v>6261000</v>
      </c>
      <c r="F45" s="94" t="n">
        <f aca="false">D45-E45</f>
        <v>6249000</v>
      </c>
      <c r="G45" s="95" t="n">
        <f aca="false">IFERROR(E45/D45,0)</f>
        <v>0.500479616306955</v>
      </c>
      <c r="H45" s="75" t="s">
        <v>1703</v>
      </c>
      <c r="I45" s="76" t="n">
        <v>45472</v>
      </c>
    </row>
    <row r="46" customFormat="false" ht="15" hidden="false" customHeight="true" outlineLevel="0" collapsed="false">
      <c r="A46" s="70" t="s">
        <v>1651</v>
      </c>
      <c r="B46" s="72" t="s">
        <v>868</v>
      </c>
      <c r="C46" s="72" t="s">
        <v>195</v>
      </c>
      <c r="D46" s="109" t="n">
        <v>12760000</v>
      </c>
      <c r="E46" s="109" t="n">
        <v>3322000</v>
      </c>
      <c r="F46" s="89" t="n">
        <f aca="false">D46-E46</f>
        <v>9438000</v>
      </c>
      <c r="G46" s="90" t="n">
        <f aca="false">IFERROR(E46/D46,0)</f>
        <v>0.260344827586207</v>
      </c>
      <c r="H46" s="70" t="s">
        <v>1705</v>
      </c>
      <c r="I46" s="71" t="n">
        <v>45725</v>
      </c>
    </row>
    <row r="47" customFormat="false" ht="15" hidden="false" customHeight="true" outlineLevel="0" collapsed="false">
      <c r="A47" s="75" t="s">
        <v>1652</v>
      </c>
      <c r="B47" s="77" t="s">
        <v>936</v>
      </c>
      <c r="C47" s="77" t="s">
        <v>100</v>
      </c>
      <c r="D47" s="111" t="n">
        <v>29710000</v>
      </c>
      <c r="E47" s="111" t="n">
        <v>20376000</v>
      </c>
      <c r="F47" s="94" t="n">
        <f aca="false">D47-E47</f>
        <v>9334000</v>
      </c>
      <c r="G47" s="95" t="n">
        <f aca="false">IFERROR(E47/D47,0)</f>
        <v>0.685829686974083</v>
      </c>
      <c r="H47" s="75" t="s">
        <v>1703</v>
      </c>
      <c r="I47" s="76" t="n">
        <v>45522</v>
      </c>
    </row>
    <row r="48" customFormat="false" ht="15" hidden="false" customHeight="true" outlineLevel="0" collapsed="false">
      <c r="A48" s="70" t="s">
        <v>1653</v>
      </c>
      <c r="B48" s="72" t="s">
        <v>1002</v>
      </c>
      <c r="C48" s="72" t="s">
        <v>166</v>
      </c>
      <c r="D48" s="109" t="n">
        <v>7240000</v>
      </c>
      <c r="E48" s="109" t="n">
        <v>5036000</v>
      </c>
      <c r="F48" s="89" t="n">
        <f aca="false">D48-E48</f>
        <v>2204000</v>
      </c>
      <c r="G48" s="90" t="n">
        <f aca="false">IFERROR(E48/D48,0)</f>
        <v>0.695580110497238</v>
      </c>
      <c r="H48" s="70" t="s">
        <v>1703</v>
      </c>
      <c r="I48" s="71" t="n">
        <v>45645</v>
      </c>
    </row>
    <row r="49" customFormat="false" ht="15" hidden="false" customHeight="true" outlineLevel="0" collapsed="false">
      <c r="A49" s="75" t="s">
        <v>1654</v>
      </c>
      <c r="B49" s="77" t="s">
        <v>1005</v>
      </c>
      <c r="C49" s="77" t="s">
        <v>195</v>
      </c>
      <c r="D49" s="111" t="n">
        <v>7750000</v>
      </c>
      <c r="E49" s="111" t="n">
        <v>5215000</v>
      </c>
      <c r="F49" s="94" t="n">
        <f aca="false">D49-E49</f>
        <v>2535000</v>
      </c>
      <c r="G49" s="95" t="n">
        <f aca="false">IFERROR(E49/D49,0)</f>
        <v>0.672903225806452</v>
      </c>
      <c r="H49" s="75" t="s">
        <v>1703</v>
      </c>
      <c r="I49" s="76" t="n">
        <v>45588</v>
      </c>
    </row>
    <row r="50" customFormat="false" ht="15" hidden="false" customHeight="true" outlineLevel="0" collapsed="false">
      <c r="A50" s="70" t="s">
        <v>1655</v>
      </c>
      <c r="B50" s="72" t="s">
        <v>1023</v>
      </c>
      <c r="C50" s="72" t="s">
        <v>159</v>
      </c>
      <c r="D50" s="109" t="n">
        <v>12510000</v>
      </c>
      <c r="E50" s="109" t="n">
        <v>6611000</v>
      </c>
      <c r="F50" s="89" t="n">
        <f aca="false">D50-E50</f>
        <v>5899000</v>
      </c>
      <c r="G50" s="90" t="n">
        <f aca="false">IFERROR(E50/D50,0)</f>
        <v>0.52845723421263</v>
      </c>
      <c r="H50" s="70" t="s">
        <v>1703</v>
      </c>
      <c r="I50" s="71" t="n">
        <v>45657</v>
      </c>
    </row>
    <row r="51" customFormat="false" ht="15" hidden="false" customHeight="true" outlineLevel="0" collapsed="false">
      <c r="A51" s="75" t="s">
        <v>1656</v>
      </c>
      <c r="B51" s="77" t="s">
        <v>1031</v>
      </c>
      <c r="C51" s="77" t="s">
        <v>159</v>
      </c>
      <c r="D51" s="111" t="n">
        <v>13590000</v>
      </c>
      <c r="E51" s="111" t="n">
        <v>2977000</v>
      </c>
      <c r="F51" s="94" t="n">
        <f aca="false">D51-E51</f>
        <v>10613000</v>
      </c>
      <c r="G51" s="95" t="n">
        <f aca="false">IFERROR(E51/D51,0)</f>
        <v>0.219058130978661</v>
      </c>
      <c r="H51" s="75" t="s">
        <v>1704</v>
      </c>
      <c r="I51" s="76" t="n">
        <v>45784</v>
      </c>
    </row>
    <row r="52" customFormat="false" ht="15" hidden="false" customHeight="true" outlineLevel="0" collapsed="false">
      <c r="A52" s="70" t="s">
        <v>1657</v>
      </c>
      <c r="B52" s="72" t="s">
        <v>1042</v>
      </c>
      <c r="C52" s="72" t="s">
        <v>195</v>
      </c>
      <c r="D52" s="109" t="n">
        <v>5500000</v>
      </c>
      <c r="E52" s="109" t="n">
        <v>4370000</v>
      </c>
      <c r="F52" s="89" t="n">
        <f aca="false">D52-E52</f>
        <v>1130000</v>
      </c>
      <c r="G52" s="90" t="n">
        <f aca="false">IFERROR(E52/D52,0)</f>
        <v>0.794545454545455</v>
      </c>
      <c r="H52" s="70" t="s">
        <v>1703</v>
      </c>
      <c r="I52" s="71" t="n">
        <v>45525</v>
      </c>
    </row>
    <row r="53" customFormat="false" ht="15" hidden="false" customHeight="true" outlineLevel="0" collapsed="false">
      <c r="A53" s="75" t="s">
        <v>1658</v>
      </c>
      <c r="B53" s="77" t="s">
        <v>1055</v>
      </c>
      <c r="C53" s="77" t="s">
        <v>159</v>
      </c>
      <c r="D53" s="111" t="n">
        <v>12080000</v>
      </c>
      <c r="E53" s="111" t="n">
        <v>11173000</v>
      </c>
      <c r="F53" s="94" t="n">
        <f aca="false">D53-E53</f>
        <v>907000</v>
      </c>
      <c r="G53" s="95" t="n">
        <f aca="false">IFERROR(E53/D53,0)</f>
        <v>0.924917218543046</v>
      </c>
      <c r="H53" s="75" t="s">
        <v>1703</v>
      </c>
      <c r="I53" s="76" t="n">
        <v>45799</v>
      </c>
    </row>
    <row r="54" customFormat="false" ht="15" hidden="false" customHeight="true" outlineLevel="0" collapsed="false">
      <c r="A54" s="70" t="s">
        <v>1659</v>
      </c>
      <c r="B54" s="72" t="s">
        <v>1064</v>
      </c>
      <c r="C54" s="72" t="s">
        <v>159</v>
      </c>
      <c r="D54" s="109" t="n">
        <v>12140000</v>
      </c>
      <c r="E54" s="109" t="n">
        <v>5503000</v>
      </c>
      <c r="F54" s="89" t="n">
        <f aca="false">D54-E54</f>
        <v>6637000</v>
      </c>
      <c r="G54" s="90" t="n">
        <f aca="false">IFERROR(E54/D54,0)</f>
        <v>0.45329489291598</v>
      </c>
      <c r="H54" s="70" t="s">
        <v>1705</v>
      </c>
      <c r="I54" s="71" t="n">
        <v>45726</v>
      </c>
    </row>
    <row r="55" customFormat="false" ht="15" hidden="false" customHeight="true" outlineLevel="0" collapsed="false">
      <c r="A55" s="75" t="s">
        <v>1660</v>
      </c>
      <c r="B55" s="77" t="s">
        <v>492</v>
      </c>
      <c r="C55" s="77" t="s">
        <v>90</v>
      </c>
      <c r="D55" s="111" t="n">
        <v>34100000</v>
      </c>
      <c r="E55" s="111" t="n">
        <v>12234000</v>
      </c>
      <c r="F55" s="94" t="n">
        <f aca="false">D55-E55</f>
        <v>21866000</v>
      </c>
      <c r="G55" s="95" t="n">
        <f aca="false">IFERROR(E55/D55,0)</f>
        <v>0.358768328445748</v>
      </c>
      <c r="H55" s="75" t="s">
        <v>1705</v>
      </c>
      <c r="I55" s="76" t="n">
        <v>45750</v>
      </c>
    </row>
    <row r="56" customFormat="false" ht="15" hidden="false" customHeight="true" outlineLevel="0" collapsed="false">
      <c r="A56" s="70" t="s">
        <v>1661</v>
      </c>
      <c r="B56" s="72" t="s">
        <v>1096</v>
      </c>
      <c r="C56" s="72" t="s">
        <v>186</v>
      </c>
      <c r="D56" s="109" t="n">
        <v>6690000</v>
      </c>
      <c r="E56" s="109" t="n">
        <v>5704000</v>
      </c>
      <c r="F56" s="89" t="n">
        <f aca="false">D56-E56</f>
        <v>986000</v>
      </c>
      <c r="G56" s="90" t="n">
        <f aca="false">IFERROR(E56/D56,0)</f>
        <v>0.852615844544096</v>
      </c>
      <c r="H56" s="70" t="s">
        <v>1703</v>
      </c>
      <c r="I56" s="71" t="n">
        <v>45834</v>
      </c>
    </row>
    <row r="57" customFormat="false" ht="15" hidden="false" customHeight="true" outlineLevel="0" collapsed="false">
      <c r="A57" s="75" t="s">
        <v>1662</v>
      </c>
      <c r="B57" s="77" t="s">
        <v>1099</v>
      </c>
      <c r="C57" s="77" t="s">
        <v>166</v>
      </c>
      <c r="D57" s="111" t="n">
        <v>14000000</v>
      </c>
      <c r="E57" s="111" t="n">
        <v>5246000</v>
      </c>
      <c r="F57" s="94" t="n">
        <f aca="false">D57-E57</f>
        <v>8754000</v>
      </c>
      <c r="G57" s="95" t="n">
        <f aca="false">IFERROR(E57/D57,0)</f>
        <v>0.374714285714286</v>
      </c>
      <c r="H57" s="75" t="s">
        <v>1705</v>
      </c>
      <c r="I57" s="76" t="n">
        <v>45721</v>
      </c>
    </row>
    <row r="58" customFormat="false" ht="15" hidden="false" customHeight="true" outlineLevel="0" collapsed="false">
      <c r="A58" s="70" t="s">
        <v>1663</v>
      </c>
      <c r="B58" s="72" t="s">
        <v>609</v>
      </c>
      <c r="C58" s="72" t="s">
        <v>130</v>
      </c>
      <c r="D58" s="109" t="n">
        <v>23210000</v>
      </c>
      <c r="E58" s="109" t="n">
        <v>13152000</v>
      </c>
      <c r="F58" s="89" t="n">
        <f aca="false">D58-E58</f>
        <v>10058000</v>
      </c>
      <c r="G58" s="90" t="n">
        <f aca="false">IFERROR(E58/D58,0)</f>
        <v>0.566652305040931</v>
      </c>
      <c r="H58" s="70" t="s">
        <v>1703</v>
      </c>
      <c r="I58" s="71" t="n">
        <v>45578</v>
      </c>
    </row>
    <row r="59" customFormat="false" ht="15" hidden="false" customHeight="true" outlineLevel="0" collapsed="false">
      <c r="A59" s="75" t="s">
        <v>1664</v>
      </c>
      <c r="B59" s="77" t="s">
        <v>930</v>
      </c>
      <c r="C59" s="77" t="s">
        <v>195</v>
      </c>
      <c r="D59" s="111" t="n">
        <v>22320000</v>
      </c>
      <c r="E59" s="111" t="n">
        <v>5231000</v>
      </c>
      <c r="F59" s="94" t="n">
        <f aca="false">D59-E59</f>
        <v>17089000</v>
      </c>
      <c r="G59" s="95" t="n">
        <f aca="false">IFERROR(E59/D59,0)</f>
        <v>0.234363799283154</v>
      </c>
      <c r="H59" s="75" t="s">
        <v>1704</v>
      </c>
      <c r="I59" s="76" t="n">
        <v>45578</v>
      </c>
    </row>
    <row r="60" customFormat="false" ht="15" hidden="false" customHeight="true" outlineLevel="0" collapsed="false">
      <c r="A60" s="70" t="s">
        <v>1665</v>
      </c>
      <c r="B60" s="72" t="s">
        <v>1125</v>
      </c>
      <c r="C60" s="72" t="s">
        <v>195</v>
      </c>
      <c r="D60" s="109" t="n">
        <v>10600000</v>
      </c>
      <c r="E60" s="109" t="n">
        <v>2517000</v>
      </c>
      <c r="F60" s="89" t="n">
        <f aca="false">D60-E60</f>
        <v>8083000</v>
      </c>
      <c r="G60" s="90" t="n">
        <f aca="false">IFERROR(E60/D60,0)</f>
        <v>0.237452830188679</v>
      </c>
      <c r="H60" s="70" t="s">
        <v>1704</v>
      </c>
      <c r="I60" s="71" t="n">
        <v>45757</v>
      </c>
    </row>
    <row r="61" customFormat="false" ht="15" hidden="false" customHeight="true" outlineLevel="0" collapsed="false">
      <c r="A61" s="75" t="s">
        <v>1666</v>
      </c>
      <c r="B61" s="77" t="s">
        <v>911</v>
      </c>
      <c r="C61" s="77" t="s">
        <v>109</v>
      </c>
      <c r="D61" s="111" t="n">
        <v>7790000</v>
      </c>
      <c r="E61" s="111" t="n">
        <v>4223000</v>
      </c>
      <c r="F61" s="94" t="n">
        <f aca="false">D61-E61</f>
        <v>3567000</v>
      </c>
      <c r="G61" s="95" t="n">
        <f aca="false">IFERROR(E61/D61,0)</f>
        <v>0.542105263157895</v>
      </c>
      <c r="H61" s="75" t="s">
        <v>1703</v>
      </c>
      <c r="I61" s="76" t="n">
        <v>45535</v>
      </c>
    </row>
    <row r="62" customFormat="false" ht="15" hidden="false" customHeight="true" outlineLevel="0" collapsed="false">
      <c r="A62" s="70" t="s">
        <v>1667</v>
      </c>
      <c r="B62" s="72" t="s">
        <v>1181</v>
      </c>
      <c r="C62" s="72" t="s">
        <v>100</v>
      </c>
      <c r="D62" s="109" t="n">
        <v>10930000</v>
      </c>
      <c r="E62" s="109" t="n">
        <v>8890000</v>
      </c>
      <c r="F62" s="89" t="n">
        <f aca="false">D62-E62</f>
        <v>2040000</v>
      </c>
      <c r="G62" s="90" t="n">
        <f aca="false">IFERROR(E62/D62,0)</f>
        <v>0.813357731015554</v>
      </c>
      <c r="H62" s="70" t="s">
        <v>1703</v>
      </c>
      <c r="I62" s="71" t="n">
        <v>45702</v>
      </c>
    </row>
    <row r="63" customFormat="false" ht="15" hidden="false" customHeight="true" outlineLevel="0" collapsed="false">
      <c r="A63" s="75" t="s">
        <v>1668</v>
      </c>
      <c r="B63" s="77" t="s">
        <v>1216</v>
      </c>
      <c r="C63" s="77" t="s">
        <v>109</v>
      </c>
      <c r="D63" s="111" t="n">
        <v>4950000</v>
      </c>
      <c r="E63" s="111" t="n">
        <v>3957000</v>
      </c>
      <c r="F63" s="94" t="n">
        <f aca="false">D63-E63</f>
        <v>993000</v>
      </c>
      <c r="G63" s="95" t="n">
        <f aca="false">IFERROR(E63/D63,0)</f>
        <v>0.799393939393939</v>
      </c>
      <c r="H63" s="75" t="s">
        <v>1703</v>
      </c>
      <c r="I63" s="76" t="n">
        <v>45759</v>
      </c>
    </row>
    <row r="64" customFormat="false" ht="15" hidden="false" customHeight="true" outlineLevel="0" collapsed="false">
      <c r="A64" s="70" t="s">
        <v>1669</v>
      </c>
      <c r="B64" s="72" t="s">
        <v>1234</v>
      </c>
      <c r="C64" s="72" t="s">
        <v>166</v>
      </c>
      <c r="D64" s="109" t="n">
        <v>11350000</v>
      </c>
      <c r="E64" s="109" t="n">
        <v>5898000</v>
      </c>
      <c r="F64" s="89" t="n">
        <f aca="false">D64-E64</f>
        <v>5452000</v>
      </c>
      <c r="G64" s="90" t="n">
        <f aca="false">IFERROR(E64/D64,0)</f>
        <v>0.519647577092511</v>
      </c>
      <c r="H64" s="70" t="s">
        <v>1703</v>
      </c>
      <c r="I64" s="71" t="n">
        <v>45685</v>
      </c>
    </row>
    <row r="65" customFormat="false" ht="15" hidden="false" customHeight="true" outlineLevel="0" collapsed="false">
      <c r="A65" s="75" t="s">
        <v>1670</v>
      </c>
      <c r="B65" s="77" t="s">
        <v>1237</v>
      </c>
      <c r="C65" s="77" t="s">
        <v>100</v>
      </c>
      <c r="D65" s="111" t="n">
        <v>22810000</v>
      </c>
      <c r="E65" s="111" t="n">
        <v>11439000</v>
      </c>
      <c r="F65" s="94" t="n">
        <f aca="false">D65-E65</f>
        <v>11371000</v>
      </c>
      <c r="G65" s="95" t="n">
        <f aca="false">IFERROR(E65/D65,0)</f>
        <v>0.501490574309513</v>
      </c>
      <c r="H65" s="75" t="s">
        <v>1703</v>
      </c>
      <c r="I65" s="76" t="n">
        <v>45840</v>
      </c>
    </row>
    <row r="66" customFormat="false" ht="15" hidden="false" customHeight="true" outlineLevel="0" collapsed="false">
      <c r="A66" s="70" t="s">
        <v>1671</v>
      </c>
      <c r="B66" s="72" t="s">
        <v>1255</v>
      </c>
      <c r="C66" s="72" t="s">
        <v>159</v>
      </c>
      <c r="D66" s="109" t="n">
        <v>17010000</v>
      </c>
      <c r="E66" s="109" t="n">
        <v>10366000</v>
      </c>
      <c r="F66" s="89" t="n">
        <f aca="false">D66-E66</f>
        <v>6644000</v>
      </c>
      <c r="G66" s="90" t="n">
        <f aca="false">IFERROR(E66/D66,0)</f>
        <v>0.609406231628454</v>
      </c>
      <c r="H66" s="70" t="s">
        <v>1703</v>
      </c>
      <c r="I66" s="71" t="n">
        <v>45644</v>
      </c>
    </row>
    <row r="67" customFormat="false" ht="15" hidden="false" customHeight="true" outlineLevel="0" collapsed="false">
      <c r="A67" s="75" t="s">
        <v>1672</v>
      </c>
      <c r="B67" s="77" t="s">
        <v>245</v>
      </c>
      <c r="C67" s="77" t="s">
        <v>100</v>
      </c>
      <c r="D67" s="111" t="n">
        <v>12200000</v>
      </c>
      <c r="E67" s="111" t="n">
        <v>9433000</v>
      </c>
      <c r="F67" s="94" t="n">
        <f aca="false">D67-E67</f>
        <v>2767000</v>
      </c>
      <c r="G67" s="95" t="n">
        <f aca="false">IFERROR(E67/D67,0)</f>
        <v>0.773196721311475</v>
      </c>
      <c r="H67" s="75" t="s">
        <v>1703</v>
      </c>
      <c r="I67" s="76" t="n">
        <v>45474</v>
      </c>
    </row>
    <row r="68" customFormat="false" ht="15" hidden="false" customHeight="true" outlineLevel="0" collapsed="false">
      <c r="A68" s="70" t="s">
        <v>1673</v>
      </c>
      <c r="B68" s="72" t="s">
        <v>1263</v>
      </c>
      <c r="C68" s="72" t="s">
        <v>109</v>
      </c>
      <c r="D68" s="109" t="n">
        <v>13450000</v>
      </c>
      <c r="E68" s="109" t="n">
        <v>5453000</v>
      </c>
      <c r="F68" s="89" t="n">
        <f aca="false">D68-E68</f>
        <v>7997000</v>
      </c>
      <c r="G68" s="90" t="n">
        <f aca="false">IFERROR(E68/D68,0)</f>
        <v>0.40542750929368</v>
      </c>
      <c r="H68" s="70" t="s">
        <v>1705</v>
      </c>
      <c r="I68" s="71" t="n">
        <v>45628</v>
      </c>
    </row>
    <row r="69" customFormat="false" ht="15" hidden="false" customHeight="true" outlineLevel="0" collapsed="false">
      <c r="A69" s="75" t="s">
        <v>1674</v>
      </c>
      <c r="B69" s="77" t="s">
        <v>1266</v>
      </c>
      <c r="C69" s="77" t="s">
        <v>100</v>
      </c>
      <c r="D69" s="111" t="n">
        <v>9680000</v>
      </c>
      <c r="E69" s="111" t="n">
        <v>4622000</v>
      </c>
      <c r="F69" s="94" t="n">
        <f aca="false">D69-E69</f>
        <v>5058000</v>
      </c>
      <c r="G69" s="95" t="n">
        <f aca="false">IFERROR(E69/D69,0)</f>
        <v>0.477479338842975</v>
      </c>
      <c r="H69" s="75" t="s">
        <v>1705</v>
      </c>
      <c r="I69" s="76" t="n">
        <v>45699</v>
      </c>
    </row>
    <row r="70" customFormat="false" ht="15" hidden="false" customHeight="true" outlineLevel="0" collapsed="false">
      <c r="A70" s="70" t="s">
        <v>1675</v>
      </c>
      <c r="B70" s="72" t="s">
        <v>1292</v>
      </c>
      <c r="C70" s="72" t="s">
        <v>130</v>
      </c>
      <c r="D70" s="109" t="n">
        <v>10880000</v>
      </c>
      <c r="E70" s="109" t="n">
        <v>2508000</v>
      </c>
      <c r="F70" s="89" t="n">
        <f aca="false">D70-E70</f>
        <v>8372000</v>
      </c>
      <c r="G70" s="90" t="n">
        <f aca="false">IFERROR(E70/D70,0)</f>
        <v>0.230514705882353</v>
      </c>
      <c r="H70" s="70" t="s">
        <v>1704</v>
      </c>
      <c r="I70" s="71" t="n">
        <v>45670</v>
      </c>
    </row>
    <row r="71" customFormat="false" ht="15" hidden="false" customHeight="true" outlineLevel="0" collapsed="false">
      <c r="A71" s="75" t="s">
        <v>1676</v>
      </c>
      <c r="B71" s="77" t="s">
        <v>1304</v>
      </c>
      <c r="C71" s="77" t="s">
        <v>195</v>
      </c>
      <c r="D71" s="111" t="n">
        <v>4920000</v>
      </c>
      <c r="E71" s="111" t="n">
        <v>3244000</v>
      </c>
      <c r="F71" s="94" t="n">
        <f aca="false">D71-E71</f>
        <v>1676000</v>
      </c>
      <c r="G71" s="95" t="n">
        <f aca="false">IFERROR(E71/D71,0)</f>
        <v>0.659349593495935</v>
      </c>
      <c r="H71" s="75" t="s">
        <v>1703</v>
      </c>
      <c r="I71" s="76" t="n">
        <v>45541</v>
      </c>
    </row>
    <row r="72" customFormat="false" ht="15" hidden="false" customHeight="true" outlineLevel="0" collapsed="false">
      <c r="A72" s="70" t="s">
        <v>1677</v>
      </c>
      <c r="B72" s="72" t="s">
        <v>1313</v>
      </c>
      <c r="C72" s="72" t="s">
        <v>90</v>
      </c>
      <c r="D72" s="109" t="n">
        <v>10820000</v>
      </c>
      <c r="E72" s="109" t="n">
        <v>2819000</v>
      </c>
      <c r="F72" s="89" t="n">
        <f aca="false">D72-E72</f>
        <v>8001000</v>
      </c>
      <c r="G72" s="90" t="n">
        <f aca="false">IFERROR(E72/D72,0)</f>
        <v>0.260536044362292</v>
      </c>
      <c r="H72" s="70" t="s">
        <v>1705</v>
      </c>
      <c r="I72" s="71" t="n">
        <v>45712</v>
      </c>
    </row>
    <row r="73" customFormat="false" ht="15" hidden="false" customHeight="true" outlineLevel="0" collapsed="false">
      <c r="A73" s="75" t="s">
        <v>1678</v>
      </c>
      <c r="B73" s="77" t="s">
        <v>833</v>
      </c>
      <c r="C73" s="77" t="s">
        <v>159</v>
      </c>
      <c r="D73" s="111" t="n">
        <v>16060000</v>
      </c>
      <c r="E73" s="111" t="n">
        <v>11725000</v>
      </c>
      <c r="F73" s="94" t="n">
        <f aca="false">D73-E73</f>
        <v>4335000</v>
      </c>
      <c r="G73" s="95" t="n">
        <f aca="false">IFERROR(E73/D73,0)</f>
        <v>0.730074719800747</v>
      </c>
      <c r="H73" s="75" t="s">
        <v>1703</v>
      </c>
      <c r="I73" s="76" t="n">
        <v>45569</v>
      </c>
    </row>
    <row r="74" customFormat="false" ht="15" hidden="false" customHeight="true" outlineLevel="0" collapsed="false">
      <c r="A74" s="70" t="s">
        <v>1679</v>
      </c>
      <c r="B74" s="72" t="s">
        <v>1346</v>
      </c>
      <c r="C74" s="72" t="s">
        <v>109</v>
      </c>
      <c r="D74" s="109" t="n">
        <v>14380000</v>
      </c>
      <c r="E74" s="109" t="n">
        <v>10343000</v>
      </c>
      <c r="F74" s="89" t="n">
        <f aca="false">D74-E74</f>
        <v>4037000</v>
      </c>
      <c r="G74" s="90" t="n">
        <f aca="false">IFERROR(E74/D74,0)</f>
        <v>0.719262865090403</v>
      </c>
      <c r="H74" s="70" t="s">
        <v>1703</v>
      </c>
      <c r="I74" s="71" t="n">
        <v>45654</v>
      </c>
    </row>
    <row r="75" customFormat="false" ht="15" hidden="false" customHeight="true" outlineLevel="0" collapsed="false">
      <c r="A75" s="75" t="s">
        <v>1680</v>
      </c>
      <c r="B75" s="77" t="s">
        <v>1355</v>
      </c>
      <c r="C75" s="77" t="s">
        <v>109</v>
      </c>
      <c r="D75" s="111" t="n">
        <v>5360000</v>
      </c>
      <c r="E75" s="111" t="n">
        <v>3175000</v>
      </c>
      <c r="F75" s="94" t="n">
        <f aca="false">D75-E75</f>
        <v>2185000</v>
      </c>
      <c r="G75" s="95" t="n">
        <f aca="false">IFERROR(E75/D75,0)</f>
        <v>0.592350746268657</v>
      </c>
      <c r="H75" s="75" t="s">
        <v>1703</v>
      </c>
      <c r="I75" s="76" t="n">
        <v>45612</v>
      </c>
    </row>
    <row r="76" customFormat="false" ht="15" hidden="false" customHeight="true" outlineLevel="0" collapsed="false">
      <c r="A76" s="70" t="s">
        <v>1681</v>
      </c>
      <c r="B76" s="72" t="s">
        <v>1039</v>
      </c>
      <c r="C76" s="72" t="s">
        <v>130</v>
      </c>
      <c r="D76" s="109" t="n">
        <v>19460000</v>
      </c>
      <c r="E76" s="109" t="n">
        <v>12803000</v>
      </c>
      <c r="F76" s="89" t="n">
        <f aca="false">D76-E76</f>
        <v>6657000</v>
      </c>
      <c r="G76" s="90" t="n">
        <f aca="false">IFERROR(E76/D76,0)</f>
        <v>0.657913669064748</v>
      </c>
      <c r="H76" s="70" t="s">
        <v>1703</v>
      </c>
      <c r="I76" s="71" t="n">
        <v>45510</v>
      </c>
    </row>
    <row r="77" customFormat="false" ht="15" hidden="false" customHeight="true" outlineLevel="0" collapsed="false">
      <c r="A77" s="75" t="s">
        <v>1682</v>
      </c>
      <c r="B77" s="77" t="s">
        <v>1388</v>
      </c>
      <c r="C77" s="77" t="s">
        <v>109</v>
      </c>
      <c r="D77" s="111" t="n">
        <v>12320000</v>
      </c>
      <c r="E77" s="111" t="n">
        <v>7083000</v>
      </c>
      <c r="F77" s="94" t="n">
        <f aca="false">D77-E77</f>
        <v>5237000</v>
      </c>
      <c r="G77" s="95" t="n">
        <f aca="false">IFERROR(E77/D77,0)</f>
        <v>0.574918831168831</v>
      </c>
      <c r="H77" s="75" t="s">
        <v>1703</v>
      </c>
      <c r="I77" s="76" t="n">
        <v>45552</v>
      </c>
    </row>
    <row r="78" customFormat="false" ht="15" hidden="false" customHeight="true" outlineLevel="0" collapsed="false">
      <c r="A78" s="70" t="s">
        <v>1683</v>
      </c>
      <c r="B78" s="72" t="s">
        <v>1391</v>
      </c>
      <c r="C78" s="72" t="s">
        <v>130</v>
      </c>
      <c r="D78" s="109" t="n">
        <v>10240000</v>
      </c>
      <c r="E78" s="109" t="n">
        <v>4720000</v>
      </c>
      <c r="F78" s="89" t="n">
        <f aca="false">D78-E78</f>
        <v>5520000</v>
      </c>
      <c r="G78" s="90" t="n">
        <f aca="false">IFERROR(E78/D78,0)</f>
        <v>0.4609375</v>
      </c>
      <c r="H78" s="70" t="s">
        <v>1705</v>
      </c>
      <c r="I78" s="71" t="n">
        <v>45611</v>
      </c>
    </row>
    <row r="79" customFormat="false" ht="15" hidden="false" customHeight="true" outlineLevel="0" collapsed="false">
      <c r="A79" s="75" t="s">
        <v>1684</v>
      </c>
      <c r="B79" s="77" t="s">
        <v>1374</v>
      </c>
      <c r="C79" s="77" t="s">
        <v>159</v>
      </c>
      <c r="D79" s="111" t="n">
        <v>12040000</v>
      </c>
      <c r="E79" s="111" t="n">
        <v>3469000</v>
      </c>
      <c r="F79" s="94" t="n">
        <f aca="false">D79-E79</f>
        <v>8571000</v>
      </c>
      <c r="G79" s="95" t="n">
        <f aca="false">IFERROR(E79/D79,0)</f>
        <v>0.28812292358804</v>
      </c>
      <c r="H79" s="75" t="s">
        <v>1705</v>
      </c>
      <c r="I79" s="76" t="n">
        <v>45693</v>
      </c>
    </row>
    <row r="80" customFormat="false" ht="15" hidden="false" customHeight="true" outlineLevel="0" collapsed="false">
      <c r="A80" s="70" t="s">
        <v>1685</v>
      </c>
      <c r="B80" s="72" t="s">
        <v>1404</v>
      </c>
      <c r="C80" s="72" t="s">
        <v>100</v>
      </c>
      <c r="D80" s="109" t="n">
        <v>13950000</v>
      </c>
      <c r="E80" s="109" t="n">
        <v>6576000</v>
      </c>
      <c r="F80" s="89" t="n">
        <f aca="false">D80-E80</f>
        <v>7374000</v>
      </c>
      <c r="G80" s="90" t="n">
        <f aca="false">IFERROR(E80/D80,0)</f>
        <v>0.471397849462366</v>
      </c>
      <c r="H80" s="70" t="s">
        <v>1705</v>
      </c>
      <c r="I80" s="71" t="n">
        <v>45589</v>
      </c>
    </row>
    <row r="81" customFormat="false" ht="15" hidden="false" customHeight="true" outlineLevel="0" collapsed="false">
      <c r="A81" s="75" t="s">
        <v>1686</v>
      </c>
      <c r="B81" s="77" t="s">
        <v>1436</v>
      </c>
      <c r="C81" s="77" t="s">
        <v>130</v>
      </c>
      <c r="D81" s="111" t="n">
        <v>9690000</v>
      </c>
      <c r="E81" s="111" t="n">
        <v>3532000</v>
      </c>
      <c r="F81" s="94" t="n">
        <f aca="false">D81-E81</f>
        <v>6158000</v>
      </c>
      <c r="G81" s="95" t="n">
        <f aca="false">IFERROR(E81/D81,0)</f>
        <v>0.364499484004128</v>
      </c>
      <c r="H81" s="75" t="s">
        <v>1705</v>
      </c>
      <c r="I81" s="76" t="n">
        <v>45714</v>
      </c>
    </row>
    <row r="82" customFormat="false" ht="15" hidden="false" customHeight="true" outlineLevel="0" collapsed="false">
      <c r="A82" s="70" t="s">
        <v>1687</v>
      </c>
      <c r="B82" s="72" t="s">
        <v>1444</v>
      </c>
      <c r="C82" s="72" t="s">
        <v>109</v>
      </c>
      <c r="D82" s="109" t="n">
        <v>9730000</v>
      </c>
      <c r="E82" s="109" t="n">
        <v>3963000</v>
      </c>
      <c r="F82" s="89" t="n">
        <f aca="false">D82-E82</f>
        <v>5767000</v>
      </c>
      <c r="G82" s="90" t="n">
        <f aca="false">IFERROR(E82/D82,0)</f>
        <v>0.407297019527235</v>
      </c>
      <c r="H82" s="70" t="s">
        <v>1705</v>
      </c>
      <c r="I82" s="71" t="n">
        <v>45479</v>
      </c>
    </row>
    <row r="83" customFormat="false" ht="15" hidden="false" customHeight="true" outlineLevel="0" collapsed="false">
      <c r="A83" s="75" t="s">
        <v>1688</v>
      </c>
      <c r="B83" s="77" t="s">
        <v>1478</v>
      </c>
      <c r="C83" s="77" t="s">
        <v>90</v>
      </c>
      <c r="D83" s="111" t="n">
        <v>11130000</v>
      </c>
      <c r="E83" s="111" t="n">
        <v>7946000</v>
      </c>
      <c r="F83" s="94" t="n">
        <f aca="false">D83-E83</f>
        <v>3184000</v>
      </c>
      <c r="G83" s="95" t="n">
        <f aca="false">IFERROR(E83/D83,0)</f>
        <v>0.71392632524708</v>
      </c>
      <c r="H83" s="75" t="s">
        <v>1703</v>
      </c>
      <c r="I83" s="76" t="n">
        <v>45760</v>
      </c>
    </row>
    <row r="84" customFormat="false" ht="15" hidden="false" customHeight="true" outlineLevel="0" collapsed="false">
      <c r="A84" s="70" t="s">
        <v>1689</v>
      </c>
      <c r="B84" s="72" t="s">
        <v>1493</v>
      </c>
      <c r="C84" s="72" t="s">
        <v>159</v>
      </c>
      <c r="D84" s="109" t="n">
        <v>29960000</v>
      </c>
      <c r="E84" s="109" t="n">
        <v>21050000</v>
      </c>
      <c r="F84" s="89" t="n">
        <f aca="false">D84-E84</f>
        <v>8910000</v>
      </c>
      <c r="G84" s="90" t="n">
        <f aca="false">IFERROR(E84/D84,0)</f>
        <v>0.70260347129506</v>
      </c>
      <c r="H84" s="70" t="s">
        <v>1703</v>
      </c>
      <c r="I84" s="71" t="n">
        <v>45788</v>
      </c>
    </row>
    <row r="85" customFormat="false" ht="15" hidden="false" customHeight="true" outlineLevel="0" collapsed="false">
      <c r="A85" s="75" t="s">
        <v>1690</v>
      </c>
      <c r="B85" s="77" t="s">
        <v>1523</v>
      </c>
      <c r="C85" s="77" t="s">
        <v>166</v>
      </c>
      <c r="D85" s="111" t="n">
        <v>16360000</v>
      </c>
      <c r="E85" s="111" t="n">
        <v>6770000</v>
      </c>
      <c r="F85" s="94" t="n">
        <f aca="false">D85-E85</f>
        <v>9590000</v>
      </c>
      <c r="G85" s="95" t="n">
        <f aca="false">IFERROR(E85/D85,0)</f>
        <v>0.413814180929095</v>
      </c>
      <c r="H85" s="75" t="s">
        <v>1705</v>
      </c>
      <c r="I85" s="76" t="n">
        <v>45767</v>
      </c>
    </row>
    <row r="86" customFormat="false" ht="15" hidden="false" customHeight="true" outlineLevel="0" collapsed="false">
      <c r="A86" s="70" t="s">
        <v>1691</v>
      </c>
      <c r="B86" s="72" t="s">
        <v>222</v>
      </c>
      <c r="C86" s="72" t="s">
        <v>109</v>
      </c>
      <c r="D86" s="109" t="n">
        <v>19650000</v>
      </c>
      <c r="E86" s="109" t="n">
        <v>15796000</v>
      </c>
      <c r="F86" s="89" t="n">
        <f aca="false">D86-E86</f>
        <v>3854000</v>
      </c>
      <c r="G86" s="90" t="n">
        <f aca="false">IFERROR(E86/D86,0)</f>
        <v>0.803867684478372</v>
      </c>
      <c r="H86" s="70" t="s">
        <v>1703</v>
      </c>
      <c r="I86" s="71" t="n">
        <v>45839</v>
      </c>
    </row>
    <row r="87" customFormat="false" ht="15" hidden="false" customHeight="true" outlineLevel="0" collapsed="false">
      <c r="A87" s="75" t="s">
        <v>1692</v>
      </c>
      <c r="B87" s="77" t="s">
        <v>1552</v>
      </c>
      <c r="C87" s="77" t="s">
        <v>109</v>
      </c>
      <c r="D87" s="111" t="n">
        <v>9680000</v>
      </c>
      <c r="E87" s="111" t="n">
        <v>7311000</v>
      </c>
      <c r="F87" s="94" t="n">
        <f aca="false">D87-E87</f>
        <v>2369000</v>
      </c>
      <c r="G87" s="95" t="n">
        <f aca="false">IFERROR(E87/D87,0)</f>
        <v>0.755268595041322</v>
      </c>
      <c r="H87" s="75" t="s">
        <v>1703</v>
      </c>
      <c r="I87" s="76" t="n">
        <v>45548</v>
      </c>
    </row>
    <row r="88" customFormat="false" ht="15" hidden="false" customHeight="true" outlineLevel="0" collapsed="false">
      <c r="A88" s="70" t="s">
        <v>1693</v>
      </c>
      <c r="B88" s="72" t="s">
        <v>1566</v>
      </c>
      <c r="C88" s="72" t="s">
        <v>166</v>
      </c>
      <c r="D88" s="109" t="n">
        <v>16510000</v>
      </c>
      <c r="E88" s="109" t="n">
        <v>9308000</v>
      </c>
      <c r="F88" s="89" t="n">
        <f aca="false">D88-E88</f>
        <v>7202000</v>
      </c>
      <c r="G88" s="90" t="n">
        <f aca="false">IFERROR(E88/D88,0)</f>
        <v>0.563779527559055</v>
      </c>
      <c r="H88" s="70" t="s">
        <v>1703</v>
      </c>
      <c r="I88" s="71" t="n">
        <v>45674</v>
      </c>
    </row>
    <row r="90" customFormat="false" ht="15" hidden="false" customHeight="true" outlineLevel="0" collapsed="false">
      <c r="A90" s="97" t="s">
        <v>1706</v>
      </c>
      <c r="B90" s="97"/>
      <c r="C90" s="97"/>
      <c r="D90" s="99" t="n">
        <f aca="false">SUM(D4:D88)</f>
        <v>1226640000</v>
      </c>
      <c r="E90" s="99" t="n">
        <f aca="false">SUM(E4:E88)</f>
        <v>737846000</v>
      </c>
      <c r="F90" s="99" t="n">
        <f aca="false">D90-E90</f>
        <v>488794000</v>
      </c>
      <c r="G90" s="100" t="n">
        <f aca="false">IFERROR(E90/D90,0)</f>
        <v>0.601517967781908</v>
      </c>
      <c r="H90" s="101"/>
      <c r="I90" s="101"/>
    </row>
  </sheetData>
  <mergeCells count="3">
    <mergeCell ref="A1:I1"/>
    <mergeCell ref="A2:I2"/>
    <mergeCell ref="A90:C90"/>
  </mergeCells>
  <conditionalFormatting sqref="H4:H88">
    <cfRule type="expression" priority="2" aboveAverage="0" equalAverage="0" bottom="0" percent="0" rank="0" text="" dxfId="0">
      <formula>H4="Fully Paid"</formula>
    </cfRule>
    <cfRule type="expression" priority="3" aboveAverage="0" equalAverage="0" bottom="0" percent="0" rank="0" text="" dxfId="2">
      <formula>H4="Overdue"</formula>
    </cfRule>
    <cfRule type="expression" priority="4" aboveAverage="0" equalAverage="0" bottom="0" percent="0" rank="0" text="" dxfId="1">
      <formula>H4="Partial"</formula>
    </cfRule>
    <cfRule type="expression" priority="5" aboveAverage="0" equalAverage="0" bottom="0" percent="0" rank="0" text="" dxfId="3">
      <formula>H4="On Schedule"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4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32"/>
    <col collapsed="false" customWidth="true" hidden="false" outlineLevel="0" max="7" min="7" style="1" width="12"/>
    <col collapsed="false" customWidth="true" hidden="false" outlineLevel="0" max="8" min="8" style="1" width="22"/>
  </cols>
  <sheetData>
    <row r="1" customFormat="false" ht="31.5" hidden="false" customHeight="true" outlineLevel="0" collapsed="false">
      <c r="A1" s="68" t="s">
        <v>1707</v>
      </c>
      <c r="B1" s="68"/>
      <c r="C1" s="68"/>
      <c r="D1" s="68"/>
      <c r="E1" s="68"/>
      <c r="F1" s="68"/>
      <c r="G1" s="68"/>
      <c r="H1" s="68"/>
    </row>
    <row r="2" customFormat="false" ht="18" hidden="false" customHeight="true" outlineLevel="0" collapsed="false">
      <c r="A2" s="4" t="s">
        <v>1708</v>
      </c>
      <c r="B2" s="4"/>
      <c r="C2" s="4"/>
      <c r="D2" s="4"/>
      <c r="E2" s="4"/>
      <c r="F2" s="4"/>
      <c r="G2" s="4"/>
      <c r="H2" s="4"/>
    </row>
    <row r="3" customFormat="false" ht="19.5" hidden="false" customHeight="true" outlineLevel="0" collapsed="false">
      <c r="A3" s="69" t="s">
        <v>1709</v>
      </c>
      <c r="B3" s="69" t="s">
        <v>72</v>
      </c>
      <c r="C3" s="69" t="s">
        <v>76</v>
      </c>
      <c r="D3" s="69" t="s">
        <v>77</v>
      </c>
      <c r="E3" s="69" t="s">
        <v>1710</v>
      </c>
      <c r="F3" s="69" t="s">
        <v>1711</v>
      </c>
      <c r="G3" s="69" t="s">
        <v>1712</v>
      </c>
      <c r="H3" s="69" t="s">
        <v>1580</v>
      </c>
    </row>
    <row r="4" customFormat="false" ht="15" hidden="false" customHeight="true" outlineLevel="0" collapsed="false">
      <c r="A4" s="70" t="s">
        <v>1713</v>
      </c>
      <c r="B4" s="72" t="s">
        <v>87</v>
      </c>
      <c r="C4" s="72" t="s">
        <v>90</v>
      </c>
      <c r="D4" s="70" t="s">
        <v>91</v>
      </c>
      <c r="E4" s="71" t="n">
        <v>45670</v>
      </c>
      <c r="F4" s="72" t="s">
        <v>1714</v>
      </c>
      <c r="G4" s="113" t="s">
        <v>1715</v>
      </c>
      <c r="H4" s="72" t="s">
        <v>93</v>
      </c>
    </row>
    <row r="5" customFormat="false" ht="15" hidden="false" customHeight="true" outlineLevel="0" collapsed="false">
      <c r="A5" s="75" t="s">
        <v>1716</v>
      </c>
      <c r="B5" s="77" t="s">
        <v>122</v>
      </c>
      <c r="C5" s="77" t="s">
        <v>100</v>
      </c>
      <c r="D5" s="75" t="s">
        <v>110</v>
      </c>
      <c r="E5" s="76" t="n">
        <v>45435</v>
      </c>
      <c r="F5" s="77" t="s">
        <v>1717</v>
      </c>
      <c r="G5" s="75" t="s">
        <v>1718</v>
      </c>
      <c r="H5" s="77" t="s">
        <v>124</v>
      </c>
    </row>
    <row r="6" customFormat="false" ht="15" hidden="false" customHeight="true" outlineLevel="0" collapsed="false">
      <c r="A6" s="70" t="s">
        <v>1719</v>
      </c>
      <c r="B6" s="72" t="s">
        <v>127</v>
      </c>
      <c r="C6" s="72" t="s">
        <v>130</v>
      </c>
      <c r="D6" s="70" t="s">
        <v>131</v>
      </c>
      <c r="E6" s="71" t="n">
        <v>45729</v>
      </c>
      <c r="F6" s="72" t="s">
        <v>1720</v>
      </c>
      <c r="G6" s="113" t="s">
        <v>1715</v>
      </c>
      <c r="H6" s="72" t="s">
        <v>112</v>
      </c>
    </row>
    <row r="7" customFormat="false" ht="15" hidden="false" customHeight="true" outlineLevel="0" collapsed="false">
      <c r="A7" s="75" t="s">
        <v>1721</v>
      </c>
      <c r="B7" s="77" t="s">
        <v>134</v>
      </c>
      <c r="C7" s="77" t="s">
        <v>90</v>
      </c>
      <c r="D7" s="75" t="s">
        <v>110</v>
      </c>
      <c r="E7" s="76" t="n">
        <v>45422</v>
      </c>
      <c r="F7" s="77" t="s">
        <v>1722</v>
      </c>
      <c r="G7" s="113" t="s">
        <v>1715</v>
      </c>
      <c r="H7" s="77" t="s">
        <v>124</v>
      </c>
    </row>
    <row r="8" customFormat="false" ht="15" hidden="false" customHeight="true" outlineLevel="0" collapsed="false">
      <c r="A8" s="70" t="s">
        <v>1723</v>
      </c>
      <c r="B8" s="72" t="s">
        <v>139</v>
      </c>
      <c r="C8" s="72" t="s">
        <v>100</v>
      </c>
      <c r="D8" s="70" t="s">
        <v>101</v>
      </c>
      <c r="E8" s="71" t="n">
        <v>45724</v>
      </c>
      <c r="F8" s="72" t="s">
        <v>1714</v>
      </c>
      <c r="G8" s="113" t="s">
        <v>1715</v>
      </c>
      <c r="H8" s="72" t="s">
        <v>142</v>
      </c>
    </row>
    <row r="9" customFormat="false" ht="15" hidden="false" customHeight="true" outlineLevel="0" collapsed="false">
      <c r="A9" s="75" t="s">
        <v>1724</v>
      </c>
      <c r="B9" s="77" t="s">
        <v>145</v>
      </c>
      <c r="C9" s="77" t="s">
        <v>90</v>
      </c>
      <c r="D9" s="75" t="s">
        <v>110</v>
      </c>
      <c r="E9" s="76" t="n">
        <v>45510</v>
      </c>
      <c r="F9" s="77" t="s">
        <v>1725</v>
      </c>
      <c r="G9" s="113" t="s">
        <v>1715</v>
      </c>
      <c r="H9" s="77" t="s">
        <v>148</v>
      </c>
    </row>
    <row r="10" customFormat="false" ht="15" hidden="false" customHeight="true" outlineLevel="0" collapsed="false">
      <c r="A10" s="70" t="s">
        <v>1726</v>
      </c>
      <c r="B10" s="72" t="s">
        <v>150</v>
      </c>
      <c r="C10" s="72" t="s">
        <v>109</v>
      </c>
      <c r="D10" s="70" t="s">
        <v>110</v>
      </c>
      <c r="E10" s="71" t="n">
        <v>45696</v>
      </c>
      <c r="F10" s="72" t="s">
        <v>1725</v>
      </c>
      <c r="G10" s="113" t="s">
        <v>1715</v>
      </c>
      <c r="H10" s="72" t="s">
        <v>93</v>
      </c>
    </row>
    <row r="11" customFormat="false" ht="15" hidden="false" customHeight="true" outlineLevel="0" collapsed="false">
      <c r="A11" s="75" t="s">
        <v>1727</v>
      </c>
      <c r="B11" s="77" t="s">
        <v>153</v>
      </c>
      <c r="C11" s="77" t="s">
        <v>90</v>
      </c>
      <c r="D11" s="75" t="s">
        <v>110</v>
      </c>
      <c r="E11" s="76" t="n">
        <v>45633</v>
      </c>
      <c r="F11" s="77" t="s">
        <v>1725</v>
      </c>
      <c r="G11" s="113" t="s">
        <v>1715</v>
      </c>
      <c r="H11" s="77" t="s">
        <v>112</v>
      </c>
    </row>
    <row r="12" customFormat="false" ht="15" hidden="false" customHeight="true" outlineLevel="0" collapsed="false">
      <c r="A12" s="70" t="s">
        <v>1728</v>
      </c>
      <c r="B12" s="72" t="s">
        <v>157</v>
      </c>
      <c r="C12" s="72" t="s">
        <v>159</v>
      </c>
      <c r="D12" s="70" t="s">
        <v>110</v>
      </c>
      <c r="E12" s="71" t="n">
        <v>45478</v>
      </c>
      <c r="F12" s="72" t="s">
        <v>1725</v>
      </c>
      <c r="G12" s="113" t="s">
        <v>1715</v>
      </c>
      <c r="H12" s="72" t="s">
        <v>103</v>
      </c>
    </row>
    <row r="13" customFormat="false" ht="15" hidden="false" customHeight="true" outlineLevel="0" collapsed="false">
      <c r="A13" s="75" t="s">
        <v>1729</v>
      </c>
      <c r="B13" s="77" t="s">
        <v>184</v>
      </c>
      <c r="C13" s="77" t="s">
        <v>186</v>
      </c>
      <c r="D13" s="75" t="s">
        <v>174</v>
      </c>
      <c r="E13" s="76" t="n">
        <v>45720</v>
      </c>
      <c r="F13" s="77" t="s">
        <v>1717</v>
      </c>
      <c r="G13" s="113" t="s">
        <v>1715</v>
      </c>
      <c r="H13" s="77" t="s">
        <v>178</v>
      </c>
    </row>
    <row r="14" customFormat="false" ht="15" hidden="false" customHeight="true" outlineLevel="0" collapsed="false">
      <c r="A14" s="70" t="s">
        <v>1730</v>
      </c>
      <c r="B14" s="72" t="s">
        <v>200</v>
      </c>
      <c r="C14" s="72" t="s">
        <v>195</v>
      </c>
      <c r="D14" s="70" t="s">
        <v>110</v>
      </c>
      <c r="E14" s="71" t="n">
        <v>45660</v>
      </c>
      <c r="F14" s="72" t="s">
        <v>1731</v>
      </c>
      <c r="G14" s="113" t="s">
        <v>1715</v>
      </c>
      <c r="H14" s="72" t="s">
        <v>178</v>
      </c>
    </row>
    <row r="15" customFormat="false" ht="15" hidden="false" customHeight="true" outlineLevel="0" collapsed="false">
      <c r="A15" s="75" t="s">
        <v>1732</v>
      </c>
      <c r="B15" s="77" t="s">
        <v>216</v>
      </c>
      <c r="C15" s="77" t="s">
        <v>90</v>
      </c>
      <c r="D15" s="75" t="s">
        <v>101</v>
      </c>
      <c r="E15" s="76" t="n">
        <v>45684</v>
      </c>
      <c r="F15" s="77" t="s">
        <v>1733</v>
      </c>
      <c r="G15" s="113" t="s">
        <v>1715</v>
      </c>
      <c r="H15" s="77" t="s">
        <v>178</v>
      </c>
    </row>
    <row r="16" customFormat="false" ht="15" hidden="false" customHeight="true" outlineLevel="0" collapsed="false">
      <c r="A16" s="70" t="s">
        <v>1734</v>
      </c>
      <c r="B16" s="72" t="s">
        <v>219</v>
      </c>
      <c r="C16" s="72" t="s">
        <v>109</v>
      </c>
      <c r="D16" s="70" t="s">
        <v>131</v>
      </c>
      <c r="E16" s="71" t="n">
        <v>45498</v>
      </c>
      <c r="F16" s="72" t="s">
        <v>1717</v>
      </c>
      <c r="G16" s="113" t="s">
        <v>1715</v>
      </c>
      <c r="H16" s="72" t="s">
        <v>124</v>
      </c>
    </row>
    <row r="17" customFormat="false" ht="15" hidden="false" customHeight="true" outlineLevel="0" collapsed="false">
      <c r="A17" s="75" t="s">
        <v>1735</v>
      </c>
      <c r="B17" s="77" t="s">
        <v>222</v>
      </c>
      <c r="C17" s="77" t="s">
        <v>186</v>
      </c>
      <c r="D17" s="75" t="s">
        <v>131</v>
      </c>
      <c r="E17" s="76" t="n">
        <v>45719</v>
      </c>
      <c r="F17" s="77" t="s">
        <v>1720</v>
      </c>
      <c r="G17" s="75" t="s">
        <v>1718</v>
      </c>
      <c r="H17" s="77" t="s">
        <v>209</v>
      </c>
    </row>
    <row r="18" customFormat="false" ht="15" hidden="false" customHeight="true" outlineLevel="0" collapsed="false">
      <c r="A18" s="70" t="s">
        <v>1736</v>
      </c>
      <c r="B18" s="72" t="s">
        <v>225</v>
      </c>
      <c r="C18" s="72" t="s">
        <v>195</v>
      </c>
      <c r="D18" s="70" t="s">
        <v>118</v>
      </c>
      <c r="E18" s="71" t="n">
        <v>45588</v>
      </c>
      <c r="F18" s="72" t="s">
        <v>1733</v>
      </c>
      <c r="G18" s="113" t="s">
        <v>1715</v>
      </c>
      <c r="H18" s="72" t="s">
        <v>170</v>
      </c>
    </row>
    <row r="19" customFormat="false" ht="15" hidden="false" customHeight="true" outlineLevel="0" collapsed="false">
      <c r="A19" s="75" t="s">
        <v>1737</v>
      </c>
      <c r="B19" s="77" t="s">
        <v>228</v>
      </c>
      <c r="C19" s="77" t="s">
        <v>195</v>
      </c>
      <c r="D19" s="75" t="s">
        <v>131</v>
      </c>
      <c r="E19" s="76" t="n">
        <v>45583</v>
      </c>
      <c r="F19" s="77" t="s">
        <v>1725</v>
      </c>
      <c r="G19" s="113" t="s">
        <v>1715</v>
      </c>
      <c r="H19" s="77" t="s">
        <v>124</v>
      </c>
    </row>
    <row r="20" customFormat="false" ht="15" hidden="false" customHeight="true" outlineLevel="0" collapsed="false">
      <c r="A20" s="70" t="s">
        <v>1738</v>
      </c>
      <c r="B20" s="72" t="s">
        <v>231</v>
      </c>
      <c r="C20" s="72" t="s">
        <v>109</v>
      </c>
      <c r="D20" s="70" t="s">
        <v>110</v>
      </c>
      <c r="E20" s="71" t="n">
        <v>45526</v>
      </c>
      <c r="F20" s="72" t="s">
        <v>1739</v>
      </c>
      <c r="G20" s="70" t="s">
        <v>1718</v>
      </c>
      <c r="H20" s="72" t="s">
        <v>191</v>
      </c>
    </row>
    <row r="21" customFormat="false" ht="15" hidden="false" customHeight="true" outlineLevel="0" collapsed="false">
      <c r="A21" s="75" t="s">
        <v>1740</v>
      </c>
      <c r="B21" s="77" t="s">
        <v>234</v>
      </c>
      <c r="C21" s="77" t="s">
        <v>100</v>
      </c>
      <c r="D21" s="75" t="s">
        <v>91</v>
      </c>
      <c r="E21" s="76" t="n">
        <v>45510</v>
      </c>
      <c r="F21" s="77" t="s">
        <v>1722</v>
      </c>
      <c r="G21" s="75" t="s">
        <v>1718</v>
      </c>
      <c r="H21" s="77" t="s">
        <v>112</v>
      </c>
    </row>
    <row r="22" customFormat="false" ht="15" hidden="false" customHeight="true" outlineLevel="0" collapsed="false">
      <c r="A22" s="70" t="s">
        <v>1741</v>
      </c>
      <c r="B22" s="72" t="s">
        <v>237</v>
      </c>
      <c r="C22" s="72" t="s">
        <v>159</v>
      </c>
      <c r="D22" s="70" t="s">
        <v>131</v>
      </c>
      <c r="E22" s="71" t="n">
        <v>45666</v>
      </c>
      <c r="F22" s="72" t="s">
        <v>1731</v>
      </c>
      <c r="G22" s="113" t="s">
        <v>1715</v>
      </c>
      <c r="H22" s="72" t="s">
        <v>103</v>
      </c>
    </row>
    <row r="23" customFormat="false" ht="15" hidden="false" customHeight="true" outlineLevel="0" collapsed="false">
      <c r="A23" s="75" t="s">
        <v>1742</v>
      </c>
      <c r="B23" s="77" t="s">
        <v>242</v>
      </c>
      <c r="C23" s="77" t="s">
        <v>195</v>
      </c>
      <c r="D23" s="75" t="s">
        <v>118</v>
      </c>
      <c r="E23" s="76" t="n">
        <v>45549</v>
      </c>
      <c r="F23" s="77" t="s">
        <v>1739</v>
      </c>
      <c r="G23" s="75" t="s">
        <v>1718</v>
      </c>
      <c r="H23" s="77" t="s">
        <v>209</v>
      </c>
    </row>
    <row r="24" customFormat="false" ht="15" hidden="false" customHeight="true" outlineLevel="0" collapsed="false">
      <c r="A24" s="70" t="s">
        <v>1743</v>
      </c>
      <c r="B24" s="72" t="s">
        <v>245</v>
      </c>
      <c r="C24" s="72" t="s">
        <v>90</v>
      </c>
      <c r="D24" s="70" t="s">
        <v>118</v>
      </c>
      <c r="E24" s="71" t="n">
        <v>45667</v>
      </c>
      <c r="F24" s="72" t="s">
        <v>1714</v>
      </c>
      <c r="G24" s="113" t="s">
        <v>1715</v>
      </c>
      <c r="H24" s="72" t="s">
        <v>178</v>
      </c>
    </row>
    <row r="25" customFormat="false" ht="15" hidden="false" customHeight="true" outlineLevel="0" collapsed="false">
      <c r="A25" s="75" t="s">
        <v>1744</v>
      </c>
      <c r="B25" s="77" t="s">
        <v>248</v>
      </c>
      <c r="C25" s="77" t="s">
        <v>159</v>
      </c>
      <c r="D25" s="75" t="s">
        <v>110</v>
      </c>
      <c r="E25" s="76" t="n">
        <v>45569</v>
      </c>
      <c r="F25" s="77" t="s">
        <v>1717</v>
      </c>
      <c r="G25" s="113" t="s">
        <v>1715</v>
      </c>
      <c r="H25" s="77" t="s">
        <v>112</v>
      </c>
    </row>
    <row r="26" customFormat="false" ht="15" hidden="false" customHeight="true" outlineLevel="0" collapsed="false">
      <c r="A26" s="70" t="s">
        <v>1745</v>
      </c>
      <c r="B26" s="72" t="s">
        <v>251</v>
      </c>
      <c r="C26" s="72" t="s">
        <v>186</v>
      </c>
      <c r="D26" s="70" t="s">
        <v>110</v>
      </c>
      <c r="E26" s="71" t="n">
        <v>45608</v>
      </c>
      <c r="F26" s="72" t="s">
        <v>1733</v>
      </c>
      <c r="G26" s="113" t="s">
        <v>1715</v>
      </c>
      <c r="H26" s="72" t="s">
        <v>148</v>
      </c>
    </row>
    <row r="27" customFormat="false" ht="15" hidden="false" customHeight="true" outlineLevel="0" collapsed="false">
      <c r="A27" s="75" t="s">
        <v>1746</v>
      </c>
      <c r="B27" s="77" t="s">
        <v>254</v>
      </c>
      <c r="C27" s="77" t="s">
        <v>130</v>
      </c>
      <c r="D27" s="75" t="s">
        <v>174</v>
      </c>
      <c r="E27" s="76" t="n">
        <v>45484</v>
      </c>
      <c r="F27" s="77" t="s">
        <v>1725</v>
      </c>
      <c r="G27" s="113" t="s">
        <v>1715</v>
      </c>
      <c r="H27" s="77" t="s">
        <v>124</v>
      </c>
    </row>
    <row r="28" customFormat="false" ht="15" hidden="false" customHeight="true" outlineLevel="0" collapsed="false">
      <c r="A28" s="70" t="s">
        <v>1747</v>
      </c>
      <c r="B28" s="72" t="s">
        <v>260</v>
      </c>
      <c r="C28" s="72" t="s">
        <v>100</v>
      </c>
      <c r="D28" s="70" t="s">
        <v>110</v>
      </c>
      <c r="E28" s="71" t="n">
        <v>45472</v>
      </c>
      <c r="F28" s="72" t="s">
        <v>1733</v>
      </c>
      <c r="G28" s="113" t="s">
        <v>1715</v>
      </c>
      <c r="H28" s="72" t="s">
        <v>142</v>
      </c>
    </row>
    <row r="29" customFormat="false" ht="15" hidden="false" customHeight="true" outlineLevel="0" collapsed="false">
      <c r="A29" s="75" t="s">
        <v>1748</v>
      </c>
      <c r="B29" s="77" t="s">
        <v>263</v>
      </c>
      <c r="C29" s="77" t="s">
        <v>166</v>
      </c>
      <c r="D29" s="75" t="s">
        <v>118</v>
      </c>
      <c r="E29" s="76" t="n">
        <v>45630</v>
      </c>
      <c r="F29" s="77" t="s">
        <v>1749</v>
      </c>
      <c r="G29" s="113" t="s">
        <v>1715</v>
      </c>
      <c r="H29" s="77" t="s">
        <v>93</v>
      </c>
    </row>
    <row r="30" customFormat="false" ht="15" hidden="false" customHeight="true" outlineLevel="0" collapsed="false">
      <c r="A30" s="70" t="s">
        <v>1750</v>
      </c>
      <c r="B30" s="72" t="s">
        <v>266</v>
      </c>
      <c r="C30" s="72" t="s">
        <v>186</v>
      </c>
      <c r="D30" s="70" t="s">
        <v>101</v>
      </c>
      <c r="E30" s="71" t="n">
        <v>45521</v>
      </c>
      <c r="F30" s="72" t="s">
        <v>1714</v>
      </c>
      <c r="G30" s="113" t="s">
        <v>1715</v>
      </c>
      <c r="H30" s="72" t="s">
        <v>142</v>
      </c>
    </row>
    <row r="31" customFormat="false" ht="15" hidden="false" customHeight="true" outlineLevel="0" collapsed="false">
      <c r="A31" s="75" t="s">
        <v>1751</v>
      </c>
      <c r="B31" s="77" t="s">
        <v>272</v>
      </c>
      <c r="C31" s="77" t="s">
        <v>100</v>
      </c>
      <c r="D31" s="75" t="s">
        <v>118</v>
      </c>
      <c r="E31" s="76" t="n">
        <v>45613</v>
      </c>
      <c r="F31" s="77" t="s">
        <v>1749</v>
      </c>
      <c r="G31" s="113" t="s">
        <v>1715</v>
      </c>
      <c r="H31" s="77" t="s">
        <v>209</v>
      </c>
    </row>
    <row r="32" customFormat="false" ht="15" hidden="false" customHeight="true" outlineLevel="0" collapsed="false">
      <c r="A32" s="70" t="s">
        <v>1752</v>
      </c>
      <c r="B32" s="72" t="s">
        <v>278</v>
      </c>
      <c r="C32" s="72" t="s">
        <v>100</v>
      </c>
      <c r="D32" s="70" t="s">
        <v>131</v>
      </c>
      <c r="E32" s="71" t="n">
        <v>45610</v>
      </c>
      <c r="F32" s="72" t="s">
        <v>1725</v>
      </c>
      <c r="G32" s="113" t="s">
        <v>1715</v>
      </c>
      <c r="H32" s="72" t="s">
        <v>178</v>
      </c>
    </row>
    <row r="33" customFormat="false" ht="15" hidden="false" customHeight="true" outlineLevel="0" collapsed="false">
      <c r="A33" s="75" t="s">
        <v>1753</v>
      </c>
      <c r="B33" s="77" t="s">
        <v>281</v>
      </c>
      <c r="C33" s="77" t="s">
        <v>195</v>
      </c>
      <c r="D33" s="75" t="s">
        <v>118</v>
      </c>
      <c r="E33" s="76" t="n">
        <v>45496</v>
      </c>
      <c r="F33" s="77" t="s">
        <v>1717</v>
      </c>
      <c r="G33" s="75" t="s">
        <v>1718</v>
      </c>
      <c r="H33" s="77" t="s">
        <v>170</v>
      </c>
    </row>
    <row r="34" customFormat="false" ht="15" hidden="false" customHeight="true" outlineLevel="0" collapsed="false">
      <c r="A34" s="70" t="s">
        <v>1754</v>
      </c>
      <c r="B34" s="72" t="s">
        <v>290</v>
      </c>
      <c r="C34" s="72" t="s">
        <v>159</v>
      </c>
      <c r="D34" s="70" t="s">
        <v>101</v>
      </c>
      <c r="E34" s="71" t="n">
        <v>45481</v>
      </c>
      <c r="F34" s="72" t="s">
        <v>1731</v>
      </c>
      <c r="G34" s="70" t="s">
        <v>1718</v>
      </c>
      <c r="H34" s="72" t="s">
        <v>112</v>
      </c>
    </row>
    <row r="35" customFormat="false" ht="15" hidden="false" customHeight="true" outlineLevel="0" collapsed="false">
      <c r="A35" s="75" t="s">
        <v>1755</v>
      </c>
      <c r="B35" s="77" t="s">
        <v>299</v>
      </c>
      <c r="C35" s="77" t="s">
        <v>130</v>
      </c>
      <c r="D35" s="75" t="s">
        <v>110</v>
      </c>
      <c r="E35" s="76" t="n">
        <v>45668</v>
      </c>
      <c r="F35" s="77" t="s">
        <v>1725</v>
      </c>
      <c r="G35" s="113" t="s">
        <v>1715</v>
      </c>
      <c r="H35" s="77" t="s">
        <v>170</v>
      </c>
    </row>
    <row r="36" customFormat="false" ht="15" hidden="false" customHeight="true" outlineLevel="0" collapsed="false">
      <c r="A36" s="70" t="s">
        <v>1756</v>
      </c>
      <c r="B36" s="72" t="s">
        <v>106</v>
      </c>
      <c r="C36" s="72" t="s">
        <v>100</v>
      </c>
      <c r="D36" s="70" t="s">
        <v>118</v>
      </c>
      <c r="E36" s="71" t="n">
        <v>45686</v>
      </c>
      <c r="F36" s="72" t="s">
        <v>1722</v>
      </c>
      <c r="G36" s="70" t="s">
        <v>1718</v>
      </c>
      <c r="H36" s="72" t="s">
        <v>124</v>
      </c>
    </row>
    <row r="37" customFormat="false" ht="15" hidden="false" customHeight="true" outlineLevel="0" collapsed="false">
      <c r="A37" s="75" t="s">
        <v>1757</v>
      </c>
      <c r="B37" s="77" t="s">
        <v>308</v>
      </c>
      <c r="C37" s="77" t="s">
        <v>186</v>
      </c>
      <c r="D37" s="75" t="s">
        <v>174</v>
      </c>
      <c r="E37" s="76" t="n">
        <v>45731</v>
      </c>
      <c r="F37" s="77" t="s">
        <v>1725</v>
      </c>
      <c r="G37" s="113" t="s">
        <v>1715</v>
      </c>
      <c r="H37" s="77" t="s">
        <v>124</v>
      </c>
    </row>
    <row r="38" customFormat="false" ht="15" hidden="false" customHeight="true" outlineLevel="0" collapsed="false">
      <c r="A38" s="70" t="s">
        <v>1758</v>
      </c>
      <c r="B38" s="72" t="s">
        <v>311</v>
      </c>
      <c r="C38" s="72" t="s">
        <v>186</v>
      </c>
      <c r="D38" s="70" t="s">
        <v>110</v>
      </c>
      <c r="E38" s="71" t="n">
        <v>45675</v>
      </c>
      <c r="F38" s="72" t="s">
        <v>1731</v>
      </c>
      <c r="G38" s="113" t="s">
        <v>1715</v>
      </c>
      <c r="H38" s="72" t="s">
        <v>148</v>
      </c>
    </row>
    <row r="39" customFormat="false" ht="15" hidden="false" customHeight="true" outlineLevel="0" collapsed="false">
      <c r="A39" s="75" t="s">
        <v>1759</v>
      </c>
      <c r="B39" s="77" t="s">
        <v>332</v>
      </c>
      <c r="C39" s="77" t="s">
        <v>159</v>
      </c>
      <c r="D39" s="75" t="s">
        <v>91</v>
      </c>
      <c r="E39" s="76" t="n">
        <v>45481</v>
      </c>
      <c r="F39" s="77" t="s">
        <v>1731</v>
      </c>
      <c r="G39" s="113" t="s">
        <v>1715</v>
      </c>
      <c r="H39" s="77" t="s">
        <v>112</v>
      </c>
    </row>
    <row r="40" customFormat="false" ht="15" hidden="false" customHeight="true" outlineLevel="0" collapsed="false">
      <c r="A40" s="70" t="s">
        <v>1760</v>
      </c>
      <c r="B40" s="72" t="s">
        <v>338</v>
      </c>
      <c r="C40" s="72" t="s">
        <v>100</v>
      </c>
      <c r="D40" s="70" t="s">
        <v>174</v>
      </c>
      <c r="E40" s="71" t="n">
        <v>45525</v>
      </c>
      <c r="F40" s="72" t="s">
        <v>1717</v>
      </c>
      <c r="G40" s="113" t="s">
        <v>1715</v>
      </c>
      <c r="H40" s="72" t="s">
        <v>124</v>
      </c>
    </row>
    <row r="41" customFormat="false" ht="15" hidden="false" customHeight="true" outlineLevel="0" collapsed="false">
      <c r="A41" s="75" t="s">
        <v>1761</v>
      </c>
      <c r="B41" s="77" t="s">
        <v>341</v>
      </c>
      <c r="C41" s="77" t="s">
        <v>90</v>
      </c>
      <c r="D41" s="75" t="s">
        <v>174</v>
      </c>
      <c r="E41" s="76" t="n">
        <v>45528</v>
      </c>
      <c r="F41" s="77" t="s">
        <v>1720</v>
      </c>
      <c r="G41" s="113" t="s">
        <v>1715</v>
      </c>
      <c r="H41" s="77" t="s">
        <v>112</v>
      </c>
    </row>
    <row r="42" customFormat="false" ht="15" hidden="false" customHeight="true" outlineLevel="0" collapsed="false">
      <c r="A42" s="70" t="s">
        <v>1762</v>
      </c>
      <c r="B42" s="72" t="s">
        <v>353</v>
      </c>
      <c r="C42" s="72" t="s">
        <v>130</v>
      </c>
      <c r="D42" s="70" t="s">
        <v>131</v>
      </c>
      <c r="E42" s="71" t="n">
        <v>45400</v>
      </c>
      <c r="F42" s="72" t="s">
        <v>1717</v>
      </c>
      <c r="G42" s="70" t="s">
        <v>1718</v>
      </c>
      <c r="H42" s="72" t="s">
        <v>191</v>
      </c>
    </row>
    <row r="43" customFormat="false" ht="15" hidden="false" customHeight="true" outlineLevel="0" collapsed="false">
      <c r="A43" s="75" t="s">
        <v>1763</v>
      </c>
      <c r="B43" s="77" t="s">
        <v>361</v>
      </c>
      <c r="C43" s="77" t="s">
        <v>109</v>
      </c>
      <c r="D43" s="75" t="s">
        <v>174</v>
      </c>
      <c r="E43" s="76" t="n">
        <v>45530</v>
      </c>
      <c r="F43" s="77" t="s">
        <v>1717</v>
      </c>
      <c r="G43" s="113" t="s">
        <v>1715</v>
      </c>
      <c r="H43" s="77" t="s">
        <v>112</v>
      </c>
    </row>
    <row r="44" customFormat="false" ht="15" hidden="false" customHeight="true" outlineLevel="0" collapsed="false">
      <c r="A44" s="70" t="s">
        <v>1764</v>
      </c>
      <c r="B44" s="72" t="s">
        <v>364</v>
      </c>
      <c r="C44" s="72" t="s">
        <v>100</v>
      </c>
      <c r="D44" s="70" t="s">
        <v>101</v>
      </c>
      <c r="E44" s="71" t="n">
        <v>45544</v>
      </c>
      <c r="F44" s="72" t="s">
        <v>1725</v>
      </c>
      <c r="G44" s="70" t="s">
        <v>1718</v>
      </c>
      <c r="H44" s="72" t="s">
        <v>170</v>
      </c>
    </row>
    <row r="45" customFormat="false" ht="15" hidden="false" customHeight="true" outlineLevel="0" collapsed="false">
      <c r="A45" s="75" t="s">
        <v>1765</v>
      </c>
      <c r="B45" s="77" t="s">
        <v>370</v>
      </c>
      <c r="C45" s="77" t="s">
        <v>186</v>
      </c>
      <c r="D45" s="75" t="s">
        <v>91</v>
      </c>
      <c r="E45" s="76" t="n">
        <v>45585</v>
      </c>
      <c r="F45" s="77" t="s">
        <v>1749</v>
      </c>
      <c r="G45" s="75" t="s">
        <v>1718</v>
      </c>
      <c r="H45" s="77" t="s">
        <v>209</v>
      </c>
    </row>
    <row r="46" customFormat="false" ht="15" hidden="false" customHeight="true" outlineLevel="0" collapsed="false">
      <c r="A46" s="70" t="s">
        <v>1766</v>
      </c>
      <c r="B46" s="72" t="s">
        <v>376</v>
      </c>
      <c r="C46" s="72" t="s">
        <v>90</v>
      </c>
      <c r="D46" s="70" t="s">
        <v>131</v>
      </c>
      <c r="E46" s="71" t="n">
        <v>45661</v>
      </c>
      <c r="F46" s="72" t="s">
        <v>1720</v>
      </c>
      <c r="G46" s="70" t="s">
        <v>1718</v>
      </c>
      <c r="H46" s="72" t="s">
        <v>93</v>
      </c>
    </row>
    <row r="47" customFormat="false" ht="15" hidden="false" customHeight="true" outlineLevel="0" collapsed="false">
      <c r="A47" s="75" t="s">
        <v>1767</v>
      </c>
      <c r="B47" s="77" t="s">
        <v>379</v>
      </c>
      <c r="C47" s="77" t="s">
        <v>100</v>
      </c>
      <c r="D47" s="75" t="s">
        <v>110</v>
      </c>
      <c r="E47" s="76" t="n">
        <v>45616</v>
      </c>
      <c r="F47" s="77" t="s">
        <v>1733</v>
      </c>
      <c r="G47" s="75" t="s">
        <v>1718</v>
      </c>
      <c r="H47" s="77" t="s">
        <v>124</v>
      </c>
    </row>
    <row r="48" customFormat="false" ht="15" hidden="false" customHeight="true" outlineLevel="0" collapsed="false">
      <c r="A48" s="70" t="s">
        <v>1768</v>
      </c>
      <c r="B48" s="72" t="s">
        <v>382</v>
      </c>
      <c r="C48" s="72" t="s">
        <v>130</v>
      </c>
      <c r="D48" s="70" t="s">
        <v>118</v>
      </c>
      <c r="E48" s="71" t="n">
        <v>45524</v>
      </c>
      <c r="F48" s="72" t="s">
        <v>1739</v>
      </c>
      <c r="G48" s="113" t="s">
        <v>1715</v>
      </c>
      <c r="H48" s="72" t="s">
        <v>209</v>
      </c>
    </row>
    <row r="49" customFormat="false" ht="15" hidden="false" customHeight="true" outlineLevel="0" collapsed="false">
      <c r="A49" s="75" t="s">
        <v>1769</v>
      </c>
      <c r="B49" s="77" t="s">
        <v>385</v>
      </c>
      <c r="C49" s="77" t="s">
        <v>159</v>
      </c>
      <c r="D49" s="75" t="s">
        <v>101</v>
      </c>
      <c r="E49" s="76" t="n">
        <v>45693</v>
      </c>
      <c r="F49" s="77" t="s">
        <v>1714</v>
      </c>
      <c r="G49" s="113" t="s">
        <v>1715</v>
      </c>
      <c r="H49" s="77" t="s">
        <v>124</v>
      </c>
    </row>
    <row r="50" customFormat="false" ht="15" hidden="false" customHeight="true" outlineLevel="0" collapsed="false">
      <c r="A50" s="70" t="s">
        <v>1770</v>
      </c>
      <c r="B50" s="72" t="s">
        <v>396</v>
      </c>
      <c r="C50" s="72" t="s">
        <v>90</v>
      </c>
      <c r="D50" s="70" t="s">
        <v>110</v>
      </c>
      <c r="E50" s="71" t="n">
        <v>45709</v>
      </c>
      <c r="F50" s="72" t="s">
        <v>1717</v>
      </c>
      <c r="G50" s="113" t="s">
        <v>1715</v>
      </c>
      <c r="H50" s="72" t="s">
        <v>170</v>
      </c>
    </row>
    <row r="51" customFormat="false" ht="15" hidden="false" customHeight="true" outlineLevel="0" collapsed="false">
      <c r="A51" s="75" t="s">
        <v>1771</v>
      </c>
      <c r="B51" s="77" t="s">
        <v>402</v>
      </c>
      <c r="C51" s="77" t="s">
        <v>90</v>
      </c>
      <c r="D51" s="75" t="s">
        <v>110</v>
      </c>
      <c r="E51" s="76" t="n">
        <v>45435</v>
      </c>
      <c r="F51" s="77" t="s">
        <v>1733</v>
      </c>
      <c r="G51" s="113" t="s">
        <v>1715</v>
      </c>
      <c r="H51" s="77" t="s">
        <v>93</v>
      </c>
    </row>
    <row r="52" customFormat="false" ht="15" hidden="false" customHeight="true" outlineLevel="0" collapsed="false">
      <c r="A52" s="70" t="s">
        <v>1772</v>
      </c>
      <c r="B52" s="72" t="s">
        <v>414</v>
      </c>
      <c r="C52" s="72" t="s">
        <v>130</v>
      </c>
      <c r="D52" s="70" t="s">
        <v>110</v>
      </c>
      <c r="E52" s="71" t="n">
        <v>45481</v>
      </c>
      <c r="F52" s="72" t="s">
        <v>1731</v>
      </c>
      <c r="G52" s="113" t="s">
        <v>1715</v>
      </c>
      <c r="H52" s="72" t="s">
        <v>103</v>
      </c>
    </row>
    <row r="53" customFormat="false" ht="15" hidden="false" customHeight="true" outlineLevel="0" collapsed="false">
      <c r="A53" s="75" t="s">
        <v>1773</v>
      </c>
      <c r="B53" s="77" t="s">
        <v>417</v>
      </c>
      <c r="C53" s="77" t="s">
        <v>195</v>
      </c>
      <c r="D53" s="75" t="s">
        <v>110</v>
      </c>
      <c r="E53" s="76" t="n">
        <v>45522</v>
      </c>
      <c r="F53" s="77" t="s">
        <v>1717</v>
      </c>
      <c r="G53" s="113" t="s">
        <v>1715</v>
      </c>
      <c r="H53" s="77" t="s">
        <v>142</v>
      </c>
    </row>
    <row r="54" customFormat="false" ht="15" hidden="false" customHeight="true" outlineLevel="0" collapsed="false">
      <c r="A54" s="70" t="s">
        <v>1774</v>
      </c>
      <c r="B54" s="72" t="s">
        <v>429</v>
      </c>
      <c r="C54" s="72" t="s">
        <v>109</v>
      </c>
      <c r="D54" s="70" t="s">
        <v>131</v>
      </c>
      <c r="E54" s="71" t="n">
        <v>45424</v>
      </c>
      <c r="F54" s="72" t="s">
        <v>1720</v>
      </c>
      <c r="G54" s="113" t="s">
        <v>1715</v>
      </c>
      <c r="H54" s="72" t="s">
        <v>191</v>
      </c>
    </row>
    <row r="55" customFormat="false" ht="15" hidden="false" customHeight="true" outlineLevel="0" collapsed="false">
      <c r="A55" s="75" t="s">
        <v>1775</v>
      </c>
      <c r="B55" s="77" t="s">
        <v>432</v>
      </c>
      <c r="C55" s="77" t="s">
        <v>166</v>
      </c>
      <c r="D55" s="75" t="s">
        <v>101</v>
      </c>
      <c r="E55" s="76" t="n">
        <v>45730</v>
      </c>
      <c r="F55" s="77" t="s">
        <v>1722</v>
      </c>
      <c r="G55" s="75" t="s">
        <v>1718</v>
      </c>
      <c r="H55" s="77" t="s">
        <v>178</v>
      </c>
    </row>
    <row r="56" customFormat="false" ht="15" hidden="false" customHeight="true" outlineLevel="0" collapsed="false">
      <c r="A56" s="70" t="s">
        <v>1776</v>
      </c>
      <c r="B56" s="72" t="s">
        <v>435</v>
      </c>
      <c r="C56" s="72" t="s">
        <v>186</v>
      </c>
      <c r="D56" s="70" t="s">
        <v>174</v>
      </c>
      <c r="E56" s="71" t="n">
        <v>45629</v>
      </c>
      <c r="F56" s="72" t="s">
        <v>1731</v>
      </c>
      <c r="G56" s="113" t="s">
        <v>1715</v>
      </c>
      <c r="H56" s="72" t="s">
        <v>142</v>
      </c>
    </row>
    <row r="57" customFormat="false" ht="15" hidden="false" customHeight="true" outlineLevel="0" collapsed="false">
      <c r="A57" s="75" t="s">
        <v>1777</v>
      </c>
      <c r="B57" s="77" t="s">
        <v>376</v>
      </c>
      <c r="C57" s="77" t="s">
        <v>90</v>
      </c>
      <c r="D57" s="75" t="s">
        <v>101</v>
      </c>
      <c r="E57" s="76" t="n">
        <v>45585</v>
      </c>
      <c r="F57" s="77" t="s">
        <v>1720</v>
      </c>
      <c r="G57" s="113" t="s">
        <v>1715</v>
      </c>
      <c r="H57" s="77" t="s">
        <v>103</v>
      </c>
    </row>
    <row r="58" customFormat="false" ht="15" hidden="false" customHeight="true" outlineLevel="0" collapsed="false">
      <c r="A58" s="70" t="s">
        <v>1778</v>
      </c>
      <c r="B58" s="72" t="s">
        <v>440</v>
      </c>
      <c r="C58" s="72" t="s">
        <v>159</v>
      </c>
      <c r="D58" s="70" t="s">
        <v>110</v>
      </c>
      <c r="E58" s="71" t="n">
        <v>45508</v>
      </c>
      <c r="F58" s="72" t="s">
        <v>1749</v>
      </c>
      <c r="G58" s="70" t="s">
        <v>1718</v>
      </c>
      <c r="H58" s="72" t="s">
        <v>103</v>
      </c>
    </row>
    <row r="59" customFormat="false" ht="15" hidden="false" customHeight="true" outlineLevel="0" collapsed="false">
      <c r="A59" s="75" t="s">
        <v>1779</v>
      </c>
      <c r="B59" s="77" t="s">
        <v>443</v>
      </c>
      <c r="C59" s="77" t="s">
        <v>186</v>
      </c>
      <c r="D59" s="75" t="s">
        <v>174</v>
      </c>
      <c r="E59" s="76" t="n">
        <v>45729</v>
      </c>
      <c r="F59" s="77" t="s">
        <v>1739</v>
      </c>
      <c r="G59" s="113" t="s">
        <v>1715</v>
      </c>
      <c r="H59" s="77" t="s">
        <v>209</v>
      </c>
    </row>
    <row r="60" customFormat="false" ht="15" hidden="false" customHeight="true" outlineLevel="0" collapsed="false">
      <c r="A60" s="70" t="s">
        <v>1780</v>
      </c>
      <c r="B60" s="72" t="s">
        <v>446</v>
      </c>
      <c r="C60" s="72" t="s">
        <v>159</v>
      </c>
      <c r="D60" s="70" t="s">
        <v>174</v>
      </c>
      <c r="E60" s="71" t="n">
        <v>45685</v>
      </c>
      <c r="F60" s="72" t="s">
        <v>1739</v>
      </c>
      <c r="G60" s="70" t="s">
        <v>1718</v>
      </c>
      <c r="H60" s="72" t="s">
        <v>209</v>
      </c>
    </row>
    <row r="61" customFormat="false" ht="15" hidden="false" customHeight="true" outlineLevel="0" collapsed="false">
      <c r="A61" s="75" t="s">
        <v>1781</v>
      </c>
      <c r="B61" s="77" t="s">
        <v>453</v>
      </c>
      <c r="C61" s="77" t="s">
        <v>130</v>
      </c>
      <c r="D61" s="75" t="s">
        <v>101</v>
      </c>
      <c r="E61" s="76" t="n">
        <v>45613</v>
      </c>
      <c r="F61" s="77" t="s">
        <v>1714</v>
      </c>
      <c r="G61" s="113" t="s">
        <v>1715</v>
      </c>
      <c r="H61" s="77" t="s">
        <v>112</v>
      </c>
    </row>
    <row r="62" customFormat="false" ht="15" hidden="false" customHeight="true" outlineLevel="0" collapsed="false">
      <c r="A62" s="70" t="s">
        <v>1782</v>
      </c>
      <c r="B62" s="72" t="s">
        <v>459</v>
      </c>
      <c r="C62" s="72" t="s">
        <v>109</v>
      </c>
      <c r="D62" s="70" t="s">
        <v>110</v>
      </c>
      <c r="E62" s="71" t="n">
        <v>45508</v>
      </c>
      <c r="F62" s="72" t="s">
        <v>1731</v>
      </c>
      <c r="G62" s="70" t="s">
        <v>1718</v>
      </c>
      <c r="H62" s="72" t="s">
        <v>93</v>
      </c>
    </row>
    <row r="63" customFormat="false" ht="15" hidden="false" customHeight="true" outlineLevel="0" collapsed="false">
      <c r="A63" s="75" t="s">
        <v>1783</v>
      </c>
      <c r="B63" s="77" t="s">
        <v>474</v>
      </c>
      <c r="C63" s="77" t="s">
        <v>195</v>
      </c>
      <c r="D63" s="75" t="s">
        <v>174</v>
      </c>
      <c r="E63" s="76" t="n">
        <v>45693</v>
      </c>
      <c r="F63" s="77" t="s">
        <v>1731</v>
      </c>
      <c r="G63" s="75" t="s">
        <v>1718</v>
      </c>
      <c r="H63" s="77" t="s">
        <v>93</v>
      </c>
    </row>
    <row r="64" customFormat="false" ht="15" hidden="false" customHeight="true" outlineLevel="0" collapsed="false">
      <c r="A64" s="70" t="s">
        <v>1784</v>
      </c>
      <c r="B64" s="72" t="s">
        <v>477</v>
      </c>
      <c r="C64" s="72" t="s">
        <v>186</v>
      </c>
      <c r="D64" s="70" t="s">
        <v>118</v>
      </c>
      <c r="E64" s="71" t="n">
        <v>45576</v>
      </c>
      <c r="F64" s="72" t="s">
        <v>1720</v>
      </c>
      <c r="G64" s="113" t="s">
        <v>1715</v>
      </c>
      <c r="H64" s="72" t="s">
        <v>148</v>
      </c>
    </row>
    <row r="65" customFormat="false" ht="15" hidden="false" customHeight="true" outlineLevel="0" collapsed="false">
      <c r="A65" s="75" t="s">
        <v>1785</v>
      </c>
      <c r="B65" s="77" t="s">
        <v>480</v>
      </c>
      <c r="C65" s="77" t="s">
        <v>186</v>
      </c>
      <c r="D65" s="75" t="s">
        <v>101</v>
      </c>
      <c r="E65" s="76" t="n">
        <v>45512</v>
      </c>
      <c r="F65" s="77" t="s">
        <v>1717</v>
      </c>
      <c r="G65" s="75" t="s">
        <v>1718</v>
      </c>
      <c r="H65" s="77" t="s">
        <v>112</v>
      </c>
    </row>
    <row r="66" customFormat="false" ht="15" hidden="false" customHeight="true" outlineLevel="0" collapsed="false">
      <c r="A66" s="70" t="s">
        <v>1786</v>
      </c>
      <c r="B66" s="72" t="s">
        <v>486</v>
      </c>
      <c r="C66" s="72" t="s">
        <v>166</v>
      </c>
      <c r="D66" s="70" t="s">
        <v>174</v>
      </c>
      <c r="E66" s="71" t="n">
        <v>45678</v>
      </c>
      <c r="F66" s="72" t="s">
        <v>1722</v>
      </c>
      <c r="G66" s="113" t="s">
        <v>1715</v>
      </c>
      <c r="H66" s="72" t="s">
        <v>148</v>
      </c>
    </row>
    <row r="67" customFormat="false" ht="15" hidden="false" customHeight="true" outlineLevel="0" collapsed="false">
      <c r="A67" s="75" t="s">
        <v>1787</v>
      </c>
      <c r="B67" s="77" t="s">
        <v>489</v>
      </c>
      <c r="C67" s="77" t="s">
        <v>159</v>
      </c>
      <c r="D67" s="75" t="s">
        <v>174</v>
      </c>
      <c r="E67" s="76" t="n">
        <v>45701</v>
      </c>
      <c r="F67" s="77" t="s">
        <v>1733</v>
      </c>
      <c r="G67" s="75" t="s">
        <v>1718</v>
      </c>
      <c r="H67" s="77" t="s">
        <v>112</v>
      </c>
    </row>
    <row r="68" customFormat="false" ht="15" hidden="false" customHeight="true" outlineLevel="0" collapsed="false">
      <c r="A68" s="70" t="s">
        <v>1788</v>
      </c>
      <c r="B68" s="72" t="s">
        <v>492</v>
      </c>
      <c r="C68" s="72" t="s">
        <v>130</v>
      </c>
      <c r="D68" s="70" t="s">
        <v>131</v>
      </c>
      <c r="E68" s="71" t="n">
        <v>45649</v>
      </c>
      <c r="F68" s="72" t="s">
        <v>1749</v>
      </c>
      <c r="G68" s="113" t="s">
        <v>1715</v>
      </c>
      <c r="H68" s="72" t="s">
        <v>93</v>
      </c>
    </row>
    <row r="69" customFormat="false" ht="15" hidden="false" customHeight="true" outlineLevel="0" collapsed="false">
      <c r="A69" s="75" t="s">
        <v>1789</v>
      </c>
      <c r="B69" s="77" t="s">
        <v>502</v>
      </c>
      <c r="C69" s="77" t="s">
        <v>130</v>
      </c>
      <c r="D69" s="75" t="s">
        <v>118</v>
      </c>
      <c r="E69" s="76" t="n">
        <v>45539</v>
      </c>
      <c r="F69" s="77" t="s">
        <v>1733</v>
      </c>
      <c r="G69" s="113" t="s">
        <v>1715</v>
      </c>
      <c r="H69" s="77" t="s">
        <v>103</v>
      </c>
    </row>
    <row r="70" customFormat="false" ht="15" hidden="false" customHeight="true" outlineLevel="0" collapsed="false">
      <c r="A70" s="70" t="s">
        <v>1790</v>
      </c>
      <c r="B70" s="72" t="s">
        <v>514</v>
      </c>
      <c r="C70" s="72" t="s">
        <v>186</v>
      </c>
      <c r="D70" s="70" t="s">
        <v>91</v>
      </c>
      <c r="E70" s="71" t="n">
        <v>45482</v>
      </c>
      <c r="F70" s="72" t="s">
        <v>1725</v>
      </c>
      <c r="G70" s="70" t="s">
        <v>1718</v>
      </c>
      <c r="H70" s="72" t="s">
        <v>148</v>
      </c>
    </row>
    <row r="71" customFormat="false" ht="15" hidden="false" customHeight="true" outlineLevel="0" collapsed="false">
      <c r="A71" s="75" t="s">
        <v>1791</v>
      </c>
      <c r="B71" s="77" t="s">
        <v>520</v>
      </c>
      <c r="C71" s="77" t="s">
        <v>186</v>
      </c>
      <c r="D71" s="75" t="s">
        <v>101</v>
      </c>
      <c r="E71" s="76" t="n">
        <v>45700</v>
      </c>
      <c r="F71" s="77" t="s">
        <v>1717</v>
      </c>
      <c r="G71" s="75" t="s">
        <v>1718</v>
      </c>
      <c r="H71" s="77" t="s">
        <v>170</v>
      </c>
    </row>
    <row r="72" customFormat="false" ht="15" hidden="false" customHeight="true" outlineLevel="0" collapsed="false">
      <c r="A72" s="70" t="s">
        <v>1792</v>
      </c>
      <c r="B72" s="72" t="s">
        <v>526</v>
      </c>
      <c r="C72" s="72" t="s">
        <v>100</v>
      </c>
      <c r="D72" s="70" t="s">
        <v>174</v>
      </c>
      <c r="E72" s="71" t="n">
        <v>45596</v>
      </c>
      <c r="F72" s="72" t="s">
        <v>1725</v>
      </c>
      <c r="G72" s="113" t="s">
        <v>1715</v>
      </c>
      <c r="H72" s="72" t="s">
        <v>178</v>
      </c>
    </row>
    <row r="73" customFormat="false" ht="15" hidden="false" customHeight="true" outlineLevel="0" collapsed="false">
      <c r="A73" s="75" t="s">
        <v>1793</v>
      </c>
      <c r="B73" s="77" t="s">
        <v>529</v>
      </c>
      <c r="C73" s="77" t="s">
        <v>195</v>
      </c>
      <c r="D73" s="75" t="s">
        <v>131</v>
      </c>
      <c r="E73" s="76" t="n">
        <v>45468</v>
      </c>
      <c r="F73" s="77" t="s">
        <v>1722</v>
      </c>
      <c r="G73" s="75" t="s">
        <v>1718</v>
      </c>
      <c r="H73" s="77" t="s">
        <v>209</v>
      </c>
    </row>
    <row r="74" customFormat="false" ht="15" hidden="false" customHeight="true" outlineLevel="0" collapsed="false">
      <c r="A74" s="70" t="s">
        <v>1794</v>
      </c>
      <c r="B74" s="72" t="s">
        <v>290</v>
      </c>
      <c r="C74" s="72" t="s">
        <v>195</v>
      </c>
      <c r="D74" s="70" t="s">
        <v>118</v>
      </c>
      <c r="E74" s="71" t="n">
        <v>45676</v>
      </c>
      <c r="F74" s="72" t="s">
        <v>1749</v>
      </c>
      <c r="G74" s="70" t="s">
        <v>1718</v>
      </c>
      <c r="H74" s="72" t="s">
        <v>124</v>
      </c>
    </row>
    <row r="75" customFormat="false" ht="15" hidden="false" customHeight="true" outlineLevel="0" collapsed="false">
      <c r="A75" s="75" t="s">
        <v>1795</v>
      </c>
      <c r="B75" s="77" t="s">
        <v>534</v>
      </c>
      <c r="C75" s="77" t="s">
        <v>159</v>
      </c>
      <c r="D75" s="75" t="s">
        <v>118</v>
      </c>
      <c r="E75" s="76" t="n">
        <v>45457</v>
      </c>
      <c r="F75" s="77" t="s">
        <v>1739</v>
      </c>
      <c r="G75" s="113" t="s">
        <v>1715</v>
      </c>
      <c r="H75" s="77" t="s">
        <v>148</v>
      </c>
    </row>
    <row r="76" customFormat="false" ht="15" hidden="false" customHeight="true" outlineLevel="0" collapsed="false">
      <c r="A76" s="70" t="s">
        <v>1796</v>
      </c>
      <c r="B76" s="72" t="s">
        <v>537</v>
      </c>
      <c r="C76" s="72" t="s">
        <v>109</v>
      </c>
      <c r="D76" s="70" t="s">
        <v>131</v>
      </c>
      <c r="E76" s="71" t="n">
        <v>45681</v>
      </c>
      <c r="F76" s="72" t="s">
        <v>1714</v>
      </c>
      <c r="G76" s="113" t="s">
        <v>1715</v>
      </c>
      <c r="H76" s="72" t="s">
        <v>148</v>
      </c>
    </row>
    <row r="77" customFormat="false" ht="15" hidden="false" customHeight="true" outlineLevel="0" collapsed="false">
      <c r="A77" s="75" t="s">
        <v>1797</v>
      </c>
      <c r="B77" s="77" t="s">
        <v>540</v>
      </c>
      <c r="C77" s="77" t="s">
        <v>159</v>
      </c>
      <c r="D77" s="75" t="s">
        <v>101</v>
      </c>
      <c r="E77" s="76" t="n">
        <v>45598</v>
      </c>
      <c r="F77" s="77" t="s">
        <v>1722</v>
      </c>
      <c r="G77" s="113" t="s">
        <v>1715</v>
      </c>
      <c r="H77" s="77" t="s">
        <v>103</v>
      </c>
    </row>
    <row r="78" customFormat="false" ht="15" hidden="false" customHeight="true" outlineLevel="0" collapsed="false">
      <c r="A78" s="70" t="s">
        <v>1798</v>
      </c>
      <c r="B78" s="72" t="s">
        <v>543</v>
      </c>
      <c r="C78" s="72" t="s">
        <v>195</v>
      </c>
      <c r="D78" s="70" t="s">
        <v>131</v>
      </c>
      <c r="E78" s="71" t="n">
        <v>45723</v>
      </c>
      <c r="F78" s="72" t="s">
        <v>1717</v>
      </c>
      <c r="G78" s="70" t="s">
        <v>1718</v>
      </c>
      <c r="H78" s="72" t="s">
        <v>124</v>
      </c>
    </row>
    <row r="79" customFormat="false" ht="15" hidden="false" customHeight="true" outlineLevel="0" collapsed="false">
      <c r="A79" s="75" t="s">
        <v>1799</v>
      </c>
      <c r="B79" s="77" t="s">
        <v>549</v>
      </c>
      <c r="C79" s="77" t="s">
        <v>195</v>
      </c>
      <c r="D79" s="75" t="s">
        <v>91</v>
      </c>
      <c r="E79" s="76" t="n">
        <v>45669</v>
      </c>
      <c r="F79" s="77" t="s">
        <v>1717</v>
      </c>
      <c r="G79" s="113" t="s">
        <v>1715</v>
      </c>
      <c r="H79" s="77" t="s">
        <v>112</v>
      </c>
    </row>
    <row r="80" customFormat="false" ht="15" hidden="false" customHeight="true" outlineLevel="0" collapsed="false">
      <c r="A80" s="70" t="s">
        <v>1800</v>
      </c>
      <c r="B80" s="72" t="s">
        <v>553</v>
      </c>
      <c r="C80" s="72" t="s">
        <v>195</v>
      </c>
      <c r="D80" s="70" t="s">
        <v>110</v>
      </c>
      <c r="E80" s="71" t="n">
        <v>45620</v>
      </c>
      <c r="F80" s="72" t="s">
        <v>1717</v>
      </c>
      <c r="G80" s="70" t="s">
        <v>1718</v>
      </c>
      <c r="H80" s="72" t="s">
        <v>93</v>
      </c>
    </row>
    <row r="81" customFormat="false" ht="15" hidden="false" customHeight="true" outlineLevel="0" collapsed="false">
      <c r="A81" s="75" t="s">
        <v>1801</v>
      </c>
      <c r="B81" s="77" t="s">
        <v>556</v>
      </c>
      <c r="C81" s="77" t="s">
        <v>166</v>
      </c>
      <c r="D81" s="75" t="s">
        <v>131</v>
      </c>
      <c r="E81" s="76" t="n">
        <v>45439</v>
      </c>
      <c r="F81" s="77" t="s">
        <v>1714</v>
      </c>
      <c r="G81" s="75" t="s">
        <v>1718</v>
      </c>
      <c r="H81" s="77" t="s">
        <v>93</v>
      </c>
    </row>
    <row r="82" customFormat="false" ht="15" hidden="false" customHeight="true" outlineLevel="0" collapsed="false">
      <c r="A82" s="70" t="s">
        <v>1802</v>
      </c>
      <c r="B82" s="72" t="s">
        <v>562</v>
      </c>
      <c r="C82" s="72" t="s">
        <v>186</v>
      </c>
      <c r="D82" s="70" t="s">
        <v>131</v>
      </c>
      <c r="E82" s="71" t="n">
        <v>45475</v>
      </c>
      <c r="F82" s="72" t="s">
        <v>1717</v>
      </c>
      <c r="G82" s="113" t="s">
        <v>1715</v>
      </c>
      <c r="H82" s="72" t="s">
        <v>191</v>
      </c>
    </row>
    <row r="83" customFormat="false" ht="15" hidden="false" customHeight="true" outlineLevel="0" collapsed="false">
      <c r="A83" s="75" t="s">
        <v>1803</v>
      </c>
      <c r="B83" s="77" t="s">
        <v>492</v>
      </c>
      <c r="C83" s="77" t="s">
        <v>159</v>
      </c>
      <c r="D83" s="75" t="s">
        <v>91</v>
      </c>
      <c r="E83" s="76" t="n">
        <v>45680</v>
      </c>
      <c r="F83" s="77" t="s">
        <v>1714</v>
      </c>
      <c r="G83" s="113" t="s">
        <v>1715</v>
      </c>
      <c r="H83" s="77" t="s">
        <v>209</v>
      </c>
    </row>
    <row r="84" customFormat="false" ht="15" hidden="false" customHeight="true" outlineLevel="0" collapsed="false">
      <c r="A84" s="70" t="s">
        <v>1804</v>
      </c>
      <c r="B84" s="72" t="s">
        <v>567</v>
      </c>
      <c r="C84" s="72" t="s">
        <v>166</v>
      </c>
      <c r="D84" s="70" t="s">
        <v>118</v>
      </c>
      <c r="E84" s="71" t="n">
        <v>45560</v>
      </c>
      <c r="F84" s="72" t="s">
        <v>1733</v>
      </c>
      <c r="G84" s="113" t="s">
        <v>1715</v>
      </c>
      <c r="H84" s="72" t="s">
        <v>103</v>
      </c>
    </row>
    <row r="85" customFormat="false" ht="15" hidden="false" customHeight="true" outlineLevel="0" collapsed="false">
      <c r="A85" s="75" t="s">
        <v>1805</v>
      </c>
      <c r="B85" s="77" t="s">
        <v>570</v>
      </c>
      <c r="C85" s="77" t="s">
        <v>186</v>
      </c>
      <c r="D85" s="75" t="s">
        <v>101</v>
      </c>
      <c r="E85" s="76" t="n">
        <v>45506</v>
      </c>
      <c r="F85" s="77" t="s">
        <v>1714</v>
      </c>
      <c r="G85" s="113" t="s">
        <v>1715</v>
      </c>
      <c r="H85" s="77" t="s">
        <v>112</v>
      </c>
    </row>
    <row r="86" customFormat="false" ht="15" hidden="false" customHeight="true" outlineLevel="0" collapsed="false">
      <c r="A86" s="70" t="s">
        <v>1806</v>
      </c>
      <c r="B86" s="72" t="s">
        <v>579</v>
      </c>
      <c r="C86" s="72" t="s">
        <v>109</v>
      </c>
      <c r="D86" s="70" t="s">
        <v>101</v>
      </c>
      <c r="E86" s="71" t="n">
        <v>45636</v>
      </c>
      <c r="F86" s="72" t="s">
        <v>1733</v>
      </c>
      <c r="G86" s="113" t="s">
        <v>1715</v>
      </c>
      <c r="H86" s="72" t="s">
        <v>112</v>
      </c>
    </row>
    <row r="87" customFormat="false" ht="15" hidden="false" customHeight="true" outlineLevel="0" collapsed="false">
      <c r="A87" s="75" t="s">
        <v>1807</v>
      </c>
      <c r="B87" s="77" t="s">
        <v>582</v>
      </c>
      <c r="C87" s="77" t="s">
        <v>130</v>
      </c>
      <c r="D87" s="75" t="s">
        <v>110</v>
      </c>
      <c r="E87" s="76" t="n">
        <v>45572</v>
      </c>
      <c r="F87" s="77" t="s">
        <v>1714</v>
      </c>
      <c r="G87" s="113" t="s">
        <v>1715</v>
      </c>
      <c r="H87" s="77" t="s">
        <v>142</v>
      </c>
    </row>
    <row r="88" customFormat="false" ht="15" hidden="false" customHeight="true" outlineLevel="0" collapsed="false">
      <c r="A88" s="70" t="s">
        <v>1808</v>
      </c>
      <c r="B88" s="72" t="s">
        <v>588</v>
      </c>
      <c r="C88" s="72" t="s">
        <v>90</v>
      </c>
      <c r="D88" s="70" t="s">
        <v>91</v>
      </c>
      <c r="E88" s="71" t="n">
        <v>45649</v>
      </c>
      <c r="F88" s="72" t="s">
        <v>1717</v>
      </c>
      <c r="G88" s="113" t="s">
        <v>1715</v>
      </c>
      <c r="H88" s="72" t="s">
        <v>148</v>
      </c>
    </row>
    <row r="89" customFormat="false" ht="15" hidden="false" customHeight="true" outlineLevel="0" collapsed="false">
      <c r="A89" s="75" t="s">
        <v>1809</v>
      </c>
      <c r="B89" s="77" t="s">
        <v>609</v>
      </c>
      <c r="C89" s="77" t="s">
        <v>195</v>
      </c>
      <c r="D89" s="75" t="s">
        <v>118</v>
      </c>
      <c r="E89" s="76" t="n">
        <v>45598</v>
      </c>
      <c r="F89" s="77" t="s">
        <v>1725</v>
      </c>
      <c r="G89" s="75" t="s">
        <v>1718</v>
      </c>
      <c r="H89" s="77" t="s">
        <v>112</v>
      </c>
    </row>
    <row r="90" customFormat="false" ht="15" hidden="false" customHeight="true" outlineLevel="0" collapsed="false">
      <c r="A90" s="70" t="s">
        <v>1810</v>
      </c>
      <c r="B90" s="72" t="s">
        <v>612</v>
      </c>
      <c r="C90" s="72" t="s">
        <v>130</v>
      </c>
      <c r="D90" s="70" t="s">
        <v>101</v>
      </c>
      <c r="E90" s="71" t="n">
        <v>45669</v>
      </c>
      <c r="F90" s="72" t="s">
        <v>1739</v>
      </c>
      <c r="G90" s="113" t="s">
        <v>1715</v>
      </c>
      <c r="H90" s="72" t="s">
        <v>191</v>
      </c>
    </row>
    <row r="91" customFormat="false" ht="15" hidden="false" customHeight="true" outlineLevel="0" collapsed="false">
      <c r="A91" s="75" t="s">
        <v>1811</v>
      </c>
      <c r="B91" s="77" t="s">
        <v>615</v>
      </c>
      <c r="C91" s="77" t="s">
        <v>186</v>
      </c>
      <c r="D91" s="75" t="s">
        <v>131</v>
      </c>
      <c r="E91" s="76" t="n">
        <v>45502</v>
      </c>
      <c r="F91" s="77" t="s">
        <v>1749</v>
      </c>
      <c r="G91" s="75" t="s">
        <v>1718</v>
      </c>
      <c r="H91" s="77" t="s">
        <v>209</v>
      </c>
    </row>
    <row r="92" customFormat="false" ht="15" hidden="false" customHeight="true" outlineLevel="0" collapsed="false">
      <c r="A92" s="70" t="s">
        <v>1812</v>
      </c>
      <c r="B92" s="72" t="s">
        <v>618</v>
      </c>
      <c r="C92" s="72" t="s">
        <v>109</v>
      </c>
      <c r="D92" s="70" t="s">
        <v>110</v>
      </c>
      <c r="E92" s="71" t="n">
        <v>45468</v>
      </c>
      <c r="F92" s="72" t="s">
        <v>1717</v>
      </c>
      <c r="G92" s="113" t="s">
        <v>1715</v>
      </c>
      <c r="H92" s="72" t="s">
        <v>142</v>
      </c>
    </row>
    <row r="93" customFormat="false" ht="15" hidden="false" customHeight="true" outlineLevel="0" collapsed="false">
      <c r="A93" s="75" t="s">
        <v>1813</v>
      </c>
      <c r="B93" s="77" t="s">
        <v>621</v>
      </c>
      <c r="C93" s="77" t="s">
        <v>186</v>
      </c>
      <c r="D93" s="75" t="s">
        <v>101</v>
      </c>
      <c r="E93" s="76" t="n">
        <v>45659</v>
      </c>
      <c r="F93" s="77" t="s">
        <v>1720</v>
      </c>
      <c r="G93" s="113" t="s">
        <v>1715</v>
      </c>
      <c r="H93" s="77" t="s">
        <v>209</v>
      </c>
    </row>
    <row r="94" customFormat="false" ht="15" hidden="false" customHeight="true" outlineLevel="0" collapsed="false">
      <c r="A94" s="70" t="s">
        <v>1814</v>
      </c>
      <c r="B94" s="72" t="s">
        <v>627</v>
      </c>
      <c r="C94" s="72" t="s">
        <v>195</v>
      </c>
      <c r="D94" s="70" t="s">
        <v>101</v>
      </c>
      <c r="E94" s="71" t="n">
        <v>45719</v>
      </c>
      <c r="F94" s="72" t="s">
        <v>1731</v>
      </c>
      <c r="G94" s="113" t="s">
        <v>1715</v>
      </c>
      <c r="H94" s="72" t="s">
        <v>103</v>
      </c>
    </row>
    <row r="95" customFormat="false" ht="15" hidden="false" customHeight="true" outlineLevel="0" collapsed="false">
      <c r="A95" s="75" t="s">
        <v>1815</v>
      </c>
      <c r="B95" s="77" t="s">
        <v>630</v>
      </c>
      <c r="C95" s="77" t="s">
        <v>159</v>
      </c>
      <c r="D95" s="75" t="s">
        <v>91</v>
      </c>
      <c r="E95" s="76" t="n">
        <v>45608</v>
      </c>
      <c r="F95" s="77" t="s">
        <v>1725</v>
      </c>
      <c r="G95" s="113" t="s">
        <v>1715</v>
      </c>
      <c r="H95" s="77" t="s">
        <v>209</v>
      </c>
    </row>
    <row r="96" customFormat="false" ht="15" hidden="false" customHeight="true" outlineLevel="0" collapsed="false">
      <c r="A96" s="70" t="s">
        <v>1816</v>
      </c>
      <c r="B96" s="72" t="s">
        <v>636</v>
      </c>
      <c r="C96" s="72" t="s">
        <v>130</v>
      </c>
      <c r="D96" s="70" t="s">
        <v>110</v>
      </c>
      <c r="E96" s="71" t="n">
        <v>45488</v>
      </c>
      <c r="F96" s="72" t="s">
        <v>1731</v>
      </c>
      <c r="G96" s="113" t="s">
        <v>1715</v>
      </c>
      <c r="H96" s="72" t="s">
        <v>112</v>
      </c>
    </row>
    <row r="97" customFormat="false" ht="15" hidden="false" customHeight="true" outlineLevel="0" collapsed="false">
      <c r="A97" s="75" t="s">
        <v>1817</v>
      </c>
      <c r="B97" s="77" t="s">
        <v>639</v>
      </c>
      <c r="C97" s="77" t="s">
        <v>100</v>
      </c>
      <c r="D97" s="75" t="s">
        <v>110</v>
      </c>
      <c r="E97" s="76" t="n">
        <v>45681</v>
      </c>
      <c r="F97" s="77" t="s">
        <v>1749</v>
      </c>
      <c r="G97" s="113" t="s">
        <v>1715</v>
      </c>
      <c r="H97" s="77" t="s">
        <v>209</v>
      </c>
    </row>
    <row r="98" customFormat="false" ht="15" hidden="false" customHeight="true" outlineLevel="0" collapsed="false">
      <c r="A98" s="70" t="s">
        <v>1818</v>
      </c>
      <c r="B98" s="72" t="s">
        <v>648</v>
      </c>
      <c r="C98" s="72" t="s">
        <v>100</v>
      </c>
      <c r="D98" s="70" t="s">
        <v>118</v>
      </c>
      <c r="E98" s="71" t="n">
        <v>45449</v>
      </c>
      <c r="F98" s="72" t="s">
        <v>1720</v>
      </c>
      <c r="G98" s="113" t="s">
        <v>1715</v>
      </c>
      <c r="H98" s="72" t="s">
        <v>209</v>
      </c>
    </row>
    <row r="99" customFormat="false" ht="15" hidden="false" customHeight="true" outlineLevel="0" collapsed="false">
      <c r="A99" s="75" t="s">
        <v>1819</v>
      </c>
      <c r="B99" s="77" t="s">
        <v>656</v>
      </c>
      <c r="C99" s="77" t="s">
        <v>90</v>
      </c>
      <c r="D99" s="75" t="s">
        <v>174</v>
      </c>
      <c r="E99" s="76" t="n">
        <v>45466</v>
      </c>
      <c r="F99" s="77" t="s">
        <v>1722</v>
      </c>
      <c r="G99" s="113" t="s">
        <v>1715</v>
      </c>
      <c r="H99" s="77" t="s">
        <v>103</v>
      </c>
    </row>
    <row r="100" customFormat="false" ht="15" hidden="false" customHeight="true" outlineLevel="0" collapsed="false">
      <c r="A100" s="70" t="s">
        <v>1820</v>
      </c>
      <c r="B100" s="72" t="s">
        <v>668</v>
      </c>
      <c r="C100" s="72" t="s">
        <v>109</v>
      </c>
      <c r="D100" s="70" t="s">
        <v>174</v>
      </c>
      <c r="E100" s="71" t="n">
        <v>45730</v>
      </c>
      <c r="F100" s="72" t="s">
        <v>1749</v>
      </c>
      <c r="G100" s="113" t="s">
        <v>1715</v>
      </c>
      <c r="H100" s="72" t="s">
        <v>112</v>
      </c>
    </row>
    <row r="101" customFormat="false" ht="15" hidden="false" customHeight="true" outlineLevel="0" collapsed="false">
      <c r="A101" s="75" t="s">
        <v>1821</v>
      </c>
      <c r="B101" s="77" t="s">
        <v>671</v>
      </c>
      <c r="C101" s="77" t="s">
        <v>109</v>
      </c>
      <c r="D101" s="75" t="s">
        <v>174</v>
      </c>
      <c r="E101" s="76" t="n">
        <v>45683</v>
      </c>
      <c r="F101" s="77" t="s">
        <v>1717</v>
      </c>
      <c r="G101" s="113" t="s">
        <v>1715</v>
      </c>
      <c r="H101" s="77" t="s">
        <v>209</v>
      </c>
    </row>
    <row r="102" customFormat="false" ht="15" hidden="false" customHeight="true" outlineLevel="0" collapsed="false">
      <c r="A102" s="70" t="s">
        <v>1822</v>
      </c>
      <c r="B102" s="72" t="s">
        <v>677</v>
      </c>
      <c r="C102" s="72" t="s">
        <v>109</v>
      </c>
      <c r="D102" s="70" t="s">
        <v>91</v>
      </c>
      <c r="E102" s="71" t="n">
        <v>45502</v>
      </c>
      <c r="F102" s="72" t="s">
        <v>1733</v>
      </c>
      <c r="G102" s="113" t="s">
        <v>1715</v>
      </c>
      <c r="H102" s="72" t="s">
        <v>103</v>
      </c>
    </row>
    <row r="103" customFormat="false" ht="15" hidden="false" customHeight="true" outlineLevel="0" collapsed="false">
      <c r="A103" s="75" t="s">
        <v>1823</v>
      </c>
      <c r="B103" s="77" t="s">
        <v>683</v>
      </c>
      <c r="C103" s="77" t="s">
        <v>159</v>
      </c>
      <c r="D103" s="75" t="s">
        <v>118</v>
      </c>
      <c r="E103" s="76" t="n">
        <v>45427</v>
      </c>
      <c r="F103" s="77" t="s">
        <v>1733</v>
      </c>
      <c r="G103" s="113" t="s">
        <v>1715</v>
      </c>
      <c r="H103" s="77" t="s">
        <v>93</v>
      </c>
    </row>
    <row r="104" customFormat="false" ht="15" hidden="false" customHeight="true" outlineLevel="0" collapsed="false">
      <c r="A104" s="70" t="s">
        <v>1824</v>
      </c>
      <c r="B104" s="72" t="s">
        <v>686</v>
      </c>
      <c r="C104" s="72" t="s">
        <v>186</v>
      </c>
      <c r="D104" s="70" t="s">
        <v>131</v>
      </c>
      <c r="E104" s="71" t="n">
        <v>45734</v>
      </c>
      <c r="F104" s="72" t="s">
        <v>1725</v>
      </c>
      <c r="G104" s="113" t="s">
        <v>1715</v>
      </c>
      <c r="H104" s="72" t="s">
        <v>191</v>
      </c>
    </row>
    <row r="105" customFormat="false" ht="15" hidden="false" customHeight="true" outlineLevel="0" collapsed="false">
      <c r="A105" s="75" t="s">
        <v>1825</v>
      </c>
      <c r="B105" s="77" t="s">
        <v>689</v>
      </c>
      <c r="C105" s="77" t="s">
        <v>186</v>
      </c>
      <c r="D105" s="75" t="s">
        <v>101</v>
      </c>
      <c r="E105" s="76" t="n">
        <v>45414</v>
      </c>
      <c r="F105" s="77" t="s">
        <v>1722</v>
      </c>
      <c r="G105" s="75" t="s">
        <v>1718</v>
      </c>
      <c r="H105" s="77" t="s">
        <v>124</v>
      </c>
    </row>
    <row r="106" customFormat="false" ht="15" hidden="false" customHeight="true" outlineLevel="0" collapsed="false">
      <c r="A106" s="70" t="s">
        <v>1826</v>
      </c>
      <c r="B106" s="72" t="s">
        <v>698</v>
      </c>
      <c r="C106" s="72" t="s">
        <v>90</v>
      </c>
      <c r="D106" s="70" t="s">
        <v>91</v>
      </c>
      <c r="E106" s="71" t="n">
        <v>45561</v>
      </c>
      <c r="F106" s="72" t="s">
        <v>1731</v>
      </c>
      <c r="G106" s="113" t="s">
        <v>1715</v>
      </c>
      <c r="H106" s="72" t="s">
        <v>148</v>
      </c>
    </row>
    <row r="107" customFormat="false" ht="15" hidden="false" customHeight="true" outlineLevel="0" collapsed="false">
      <c r="A107" s="75" t="s">
        <v>1827</v>
      </c>
      <c r="B107" s="77" t="s">
        <v>648</v>
      </c>
      <c r="C107" s="77" t="s">
        <v>90</v>
      </c>
      <c r="D107" s="75" t="s">
        <v>131</v>
      </c>
      <c r="E107" s="76" t="n">
        <v>45481</v>
      </c>
      <c r="F107" s="77" t="s">
        <v>1722</v>
      </c>
      <c r="G107" s="75" t="s">
        <v>1718</v>
      </c>
      <c r="H107" s="77" t="s">
        <v>148</v>
      </c>
    </row>
    <row r="108" customFormat="false" ht="15" hidden="false" customHeight="true" outlineLevel="0" collapsed="false">
      <c r="A108" s="70" t="s">
        <v>1828</v>
      </c>
      <c r="B108" s="72" t="s">
        <v>706</v>
      </c>
      <c r="C108" s="72" t="s">
        <v>195</v>
      </c>
      <c r="D108" s="70" t="s">
        <v>101</v>
      </c>
      <c r="E108" s="71" t="n">
        <v>45595</v>
      </c>
      <c r="F108" s="72" t="s">
        <v>1717</v>
      </c>
      <c r="G108" s="113" t="s">
        <v>1715</v>
      </c>
      <c r="H108" s="72" t="s">
        <v>103</v>
      </c>
    </row>
    <row r="109" customFormat="false" ht="15" hidden="false" customHeight="true" outlineLevel="0" collapsed="false">
      <c r="A109" s="75" t="s">
        <v>1829</v>
      </c>
      <c r="B109" s="77" t="s">
        <v>709</v>
      </c>
      <c r="C109" s="77" t="s">
        <v>159</v>
      </c>
      <c r="D109" s="75" t="s">
        <v>101</v>
      </c>
      <c r="E109" s="76" t="n">
        <v>45702</v>
      </c>
      <c r="F109" s="77" t="s">
        <v>1733</v>
      </c>
      <c r="G109" s="113" t="s">
        <v>1715</v>
      </c>
      <c r="H109" s="77" t="s">
        <v>112</v>
      </c>
    </row>
    <row r="110" customFormat="false" ht="15" hidden="false" customHeight="true" outlineLevel="0" collapsed="false">
      <c r="A110" s="70" t="s">
        <v>1830</v>
      </c>
      <c r="B110" s="72" t="s">
        <v>718</v>
      </c>
      <c r="C110" s="72" t="s">
        <v>130</v>
      </c>
      <c r="D110" s="70" t="s">
        <v>101</v>
      </c>
      <c r="E110" s="71" t="n">
        <v>45637</v>
      </c>
      <c r="F110" s="72" t="s">
        <v>1733</v>
      </c>
      <c r="G110" s="70" t="s">
        <v>1718</v>
      </c>
      <c r="H110" s="72" t="s">
        <v>93</v>
      </c>
    </row>
    <row r="111" customFormat="false" ht="15" hidden="false" customHeight="true" outlineLevel="0" collapsed="false">
      <c r="A111" s="75" t="s">
        <v>1831</v>
      </c>
      <c r="B111" s="77" t="s">
        <v>721</v>
      </c>
      <c r="C111" s="77" t="s">
        <v>100</v>
      </c>
      <c r="D111" s="75" t="s">
        <v>110</v>
      </c>
      <c r="E111" s="76" t="n">
        <v>45692</v>
      </c>
      <c r="F111" s="77" t="s">
        <v>1733</v>
      </c>
      <c r="G111" s="113" t="s">
        <v>1715</v>
      </c>
      <c r="H111" s="77" t="s">
        <v>112</v>
      </c>
    </row>
    <row r="112" customFormat="false" ht="15" hidden="false" customHeight="true" outlineLevel="0" collapsed="false">
      <c r="A112" s="70" t="s">
        <v>1832</v>
      </c>
      <c r="B112" s="72" t="s">
        <v>724</v>
      </c>
      <c r="C112" s="72" t="s">
        <v>100</v>
      </c>
      <c r="D112" s="70" t="s">
        <v>174</v>
      </c>
      <c r="E112" s="71" t="n">
        <v>45728</v>
      </c>
      <c r="F112" s="72" t="s">
        <v>1725</v>
      </c>
      <c r="G112" s="113" t="s">
        <v>1715</v>
      </c>
      <c r="H112" s="72" t="s">
        <v>124</v>
      </c>
    </row>
    <row r="113" customFormat="false" ht="15" hidden="false" customHeight="true" outlineLevel="0" collapsed="false">
      <c r="A113" s="75" t="s">
        <v>1833</v>
      </c>
      <c r="B113" s="77" t="s">
        <v>727</v>
      </c>
      <c r="C113" s="77" t="s">
        <v>130</v>
      </c>
      <c r="D113" s="75" t="s">
        <v>91</v>
      </c>
      <c r="E113" s="76" t="n">
        <v>45668</v>
      </c>
      <c r="F113" s="77" t="s">
        <v>1731</v>
      </c>
      <c r="G113" s="113" t="s">
        <v>1715</v>
      </c>
      <c r="H113" s="77" t="s">
        <v>103</v>
      </c>
    </row>
    <row r="114" customFormat="false" ht="15" hidden="false" customHeight="true" outlineLevel="0" collapsed="false">
      <c r="A114" s="70" t="s">
        <v>1834</v>
      </c>
      <c r="B114" s="72" t="s">
        <v>733</v>
      </c>
      <c r="C114" s="72" t="s">
        <v>166</v>
      </c>
      <c r="D114" s="70" t="s">
        <v>118</v>
      </c>
      <c r="E114" s="71" t="n">
        <v>45406</v>
      </c>
      <c r="F114" s="72" t="s">
        <v>1733</v>
      </c>
      <c r="G114" s="113" t="s">
        <v>1715</v>
      </c>
      <c r="H114" s="72" t="s">
        <v>103</v>
      </c>
    </row>
    <row r="115" customFormat="false" ht="15" hidden="false" customHeight="true" outlineLevel="0" collapsed="false">
      <c r="A115" s="75" t="s">
        <v>1835</v>
      </c>
      <c r="B115" s="77" t="s">
        <v>191</v>
      </c>
      <c r="C115" s="77" t="s">
        <v>186</v>
      </c>
      <c r="D115" s="75" t="s">
        <v>174</v>
      </c>
      <c r="E115" s="76" t="n">
        <v>45489</v>
      </c>
      <c r="F115" s="77" t="s">
        <v>1739</v>
      </c>
      <c r="G115" s="113" t="s">
        <v>1715</v>
      </c>
      <c r="H115" s="77" t="s">
        <v>178</v>
      </c>
    </row>
    <row r="116" customFormat="false" ht="15" hidden="false" customHeight="true" outlineLevel="0" collapsed="false">
      <c r="A116" s="70" t="s">
        <v>1836</v>
      </c>
      <c r="B116" s="72" t="s">
        <v>743</v>
      </c>
      <c r="C116" s="72" t="s">
        <v>195</v>
      </c>
      <c r="D116" s="70" t="s">
        <v>91</v>
      </c>
      <c r="E116" s="71" t="n">
        <v>45422</v>
      </c>
      <c r="F116" s="72" t="s">
        <v>1733</v>
      </c>
      <c r="G116" s="113" t="s">
        <v>1715</v>
      </c>
      <c r="H116" s="72" t="s">
        <v>148</v>
      </c>
    </row>
    <row r="117" customFormat="false" ht="15" hidden="false" customHeight="true" outlineLevel="0" collapsed="false">
      <c r="A117" s="75" t="s">
        <v>1837</v>
      </c>
      <c r="B117" s="77" t="s">
        <v>746</v>
      </c>
      <c r="C117" s="77" t="s">
        <v>130</v>
      </c>
      <c r="D117" s="75" t="s">
        <v>118</v>
      </c>
      <c r="E117" s="76" t="n">
        <v>45597</v>
      </c>
      <c r="F117" s="77" t="s">
        <v>1749</v>
      </c>
      <c r="G117" s="75" t="s">
        <v>1718</v>
      </c>
      <c r="H117" s="77" t="s">
        <v>170</v>
      </c>
    </row>
    <row r="118" customFormat="false" ht="15" hidden="false" customHeight="true" outlineLevel="0" collapsed="false">
      <c r="A118" s="70" t="s">
        <v>1838</v>
      </c>
      <c r="B118" s="72" t="s">
        <v>749</v>
      </c>
      <c r="C118" s="72" t="s">
        <v>130</v>
      </c>
      <c r="D118" s="70" t="s">
        <v>174</v>
      </c>
      <c r="E118" s="71" t="n">
        <v>45429</v>
      </c>
      <c r="F118" s="72" t="s">
        <v>1722</v>
      </c>
      <c r="G118" s="70" t="s">
        <v>1718</v>
      </c>
      <c r="H118" s="72" t="s">
        <v>170</v>
      </c>
    </row>
    <row r="119" customFormat="false" ht="15" hidden="false" customHeight="true" outlineLevel="0" collapsed="false">
      <c r="A119" s="75" t="s">
        <v>1839</v>
      </c>
      <c r="B119" s="77" t="s">
        <v>752</v>
      </c>
      <c r="C119" s="77" t="s">
        <v>186</v>
      </c>
      <c r="D119" s="75" t="s">
        <v>131</v>
      </c>
      <c r="E119" s="76" t="n">
        <v>45629</v>
      </c>
      <c r="F119" s="77" t="s">
        <v>1733</v>
      </c>
      <c r="G119" s="75" t="s">
        <v>1718</v>
      </c>
      <c r="H119" s="77" t="s">
        <v>112</v>
      </c>
    </row>
    <row r="120" customFormat="false" ht="15" hidden="false" customHeight="true" outlineLevel="0" collapsed="false">
      <c r="A120" s="70" t="s">
        <v>1840</v>
      </c>
      <c r="B120" s="72" t="s">
        <v>755</v>
      </c>
      <c r="C120" s="72" t="s">
        <v>186</v>
      </c>
      <c r="D120" s="70" t="s">
        <v>118</v>
      </c>
      <c r="E120" s="71" t="n">
        <v>45436</v>
      </c>
      <c r="F120" s="72" t="s">
        <v>1717</v>
      </c>
      <c r="G120" s="70" t="s">
        <v>1718</v>
      </c>
      <c r="H120" s="72" t="s">
        <v>112</v>
      </c>
    </row>
    <row r="121" customFormat="false" ht="15" hidden="false" customHeight="true" outlineLevel="0" collapsed="false">
      <c r="A121" s="75" t="s">
        <v>1841</v>
      </c>
      <c r="B121" s="77" t="s">
        <v>758</v>
      </c>
      <c r="C121" s="77" t="s">
        <v>130</v>
      </c>
      <c r="D121" s="75" t="s">
        <v>118</v>
      </c>
      <c r="E121" s="76" t="n">
        <v>45531</v>
      </c>
      <c r="F121" s="77" t="s">
        <v>1749</v>
      </c>
      <c r="G121" s="113" t="s">
        <v>1715</v>
      </c>
      <c r="H121" s="77" t="s">
        <v>112</v>
      </c>
    </row>
    <row r="122" customFormat="false" ht="15" hidden="false" customHeight="true" outlineLevel="0" collapsed="false">
      <c r="A122" s="70" t="s">
        <v>1842</v>
      </c>
      <c r="B122" s="72" t="s">
        <v>761</v>
      </c>
      <c r="C122" s="72" t="s">
        <v>186</v>
      </c>
      <c r="D122" s="70" t="s">
        <v>118</v>
      </c>
      <c r="E122" s="71" t="n">
        <v>45702</v>
      </c>
      <c r="F122" s="72" t="s">
        <v>1714</v>
      </c>
      <c r="G122" s="113" t="s">
        <v>1715</v>
      </c>
      <c r="H122" s="72" t="s">
        <v>209</v>
      </c>
    </row>
    <row r="123" customFormat="false" ht="15" hidden="false" customHeight="true" outlineLevel="0" collapsed="false">
      <c r="A123" s="75" t="s">
        <v>1843</v>
      </c>
      <c r="B123" s="77" t="s">
        <v>764</v>
      </c>
      <c r="C123" s="77" t="s">
        <v>186</v>
      </c>
      <c r="D123" s="75" t="s">
        <v>118</v>
      </c>
      <c r="E123" s="76" t="n">
        <v>45474</v>
      </c>
      <c r="F123" s="77" t="s">
        <v>1720</v>
      </c>
      <c r="G123" s="113" t="s">
        <v>1715</v>
      </c>
      <c r="H123" s="77" t="s">
        <v>124</v>
      </c>
    </row>
    <row r="124" customFormat="false" ht="15" hidden="false" customHeight="true" outlineLevel="0" collapsed="false">
      <c r="A124" s="70" t="s">
        <v>1844</v>
      </c>
      <c r="B124" s="72" t="s">
        <v>767</v>
      </c>
      <c r="C124" s="72" t="s">
        <v>109</v>
      </c>
      <c r="D124" s="70" t="s">
        <v>118</v>
      </c>
      <c r="E124" s="71" t="n">
        <v>45650</v>
      </c>
      <c r="F124" s="72" t="s">
        <v>1733</v>
      </c>
      <c r="G124" s="113" t="s">
        <v>1715</v>
      </c>
      <c r="H124" s="72" t="s">
        <v>112</v>
      </c>
    </row>
    <row r="125" customFormat="false" ht="15" hidden="false" customHeight="true" outlineLevel="0" collapsed="false">
      <c r="A125" s="75" t="s">
        <v>1845</v>
      </c>
      <c r="B125" s="77" t="s">
        <v>773</v>
      </c>
      <c r="C125" s="77" t="s">
        <v>109</v>
      </c>
      <c r="D125" s="75" t="s">
        <v>131</v>
      </c>
      <c r="E125" s="76" t="n">
        <v>45492</v>
      </c>
      <c r="F125" s="77" t="s">
        <v>1722</v>
      </c>
      <c r="G125" s="113" t="s">
        <v>1715</v>
      </c>
      <c r="H125" s="77" t="s">
        <v>124</v>
      </c>
    </row>
    <row r="126" customFormat="false" ht="15" hidden="false" customHeight="true" outlineLevel="0" collapsed="false">
      <c r="A126" s="70" t="s">
        <v>1846</v>
      </c>
      <c r="B126" s="72" t="s">
        <v>776</v>
      </c>
      <c r="C126" s="72" t="s">
        <v>130</v>
      </c>
      <c r="D126" s="70" t="s">
        <v>174</v>
      </c>
      <c r="E126" s="71" t="n">
        <v>45680</v>
      </c>
      <c r="F126" s="72" t="s">
        <v>1731</v>
      </c>
      <c r="G126" s="113" t="s">
        <v>1715</v>
      </c>
      <c r="H126" s="72" t="s">
        <v>191</v>
      </c>
    </row>
    <row r="127" customFormat="false" ht="15" hidden="false" customHeight="true" outlineLevel="0" collapsed="false">
      <c r="A127" s="75" t="s">
        <v>1847</v>
      </c>
      <c r="B127" s="77" t="s">
        <v>456</v>
      </c>
      <c r="C127" s="77" t="s">
        <v>166</v>
      </c>
      <c r="D127" s="75" t="s">
        <v>110</v>
      </c>
      <c r="E127" s="76" t="n">
        <v>45433</v>
      </c>
      <c r="F127" s="77" t="s">
        <v>1739</v>
      </c>
      <c r="G127" s="75" t="s">
        <v>1718</v>
      </c>
      <c r="H127" s="77" t="s">
        <v>112</v>
      </c>
    </row>
    <row r="128" customFormat="false" ht="15" hidden="false" customHeight="true" outlineLevel="0" collapsed="false">
      <c r="A128" s="70" t="s">
        <v>1848</v>
      </c>
      <c r="B128" s="72" t="s">
        <v>87</v>
      </c>
      <c r="C128" s="72" t="s">
        <v>159</v>
      </c>
      <c r="D128" s="70" t="s">
        <v>110</v>
      </c>
      <c r="E128" s="71" t="n">
        <v>45685</v>
      </c>
      <c r="F128" s="72" t="s">
        <v>1739</v>
      </c>
      <c r="G128" s="113" t="s">
        <v>1715</v>
      </c>
      <c r="H128" s="72" t="s">
        <v>124</v>
      </c>
    </row>
    <row r="129" customFormat="false" ht="15" hidden="false" customHeight="true" outlineLevel="0" collapsed="false">
      <c r="A129" s="75" t="s">
        <v>1849</v>
      </c>
      <c r="B129" s="77" t="s">
        <v>798</v>
      </c>
      <c r="C129" s="77" t="s">
        <v>186</v>
      </c>
      <c r="D129" s="75" t="s">
        <v>174</v>
      </c>
      <c r="E129" s="76" t="n">
        <v>45622</v>
      </c>
      <c r="F129" s="77" t="s">
        <v>1717</v>
      </c>
      <c r="G129" s="75" t="s">
        <v>1718</v>
      </c>
      <c r="H129" s="77" t="s">
        <v>148</v>
      </c>
    </row>
    <row r="130" customFormat="false" ht="15" hidden="false" customHeight="true" outlineLevel="0" collapsed="false">
      <c r="A130" s="70" t="s">
        <v>1850</v>
      </c>
      <c r="B130" s="72" t="s">
        <v>804</v>
      </c>
      <c r="C130" s="72" t="s">
        <v>130</v>
      </c>
      <c r="D130" s="70" t="s">
        <v>101</v>
      </c>
      <c r="E130" s="71" t="n">
        <v>45576</v>
      </c>
      <c r="F130" s="72" t="s">
        <v>1714</v>
      </c>
      <c r="G130" s="113" t="s">
        <v>1715</v>
      </c>
      <c r="H130" s="72" t="s">
        <v>191</v>
      </c>
    </row>
    <row r="131" customFormat="false" ht="15" hidden="false" customHeight="true" outlineLevel="0" collapsed="false">
      <c r="A131" s="75" t="s">
        <v>1851</v>
      </c>
      <c r="B131" s="77" t="s">
        <v>810</v>
      </c>
      <c r="C131" s="77" t="s">
        <v>109</v>
      </c>
      <c r="D131" s="75" t="s">
        <v>101</v>
      </c>
      <c r="E131" s="76" t="n">
        <v>45678</v>
      </c>
      <c r="F131" s="77" t="s">
        <v>1731</v>
      </c>
      <c r="G131" s="113" t="s">
        <v>1715</v>
      </c>
      <c r="H131" s="77" t="s">
        <v>170</v>
      </c>
    </row>
    <row r="132" customFormat="false" ht="15" hidden="false" customHeight="true" outlineLevel="0" collapsed="false">
      <c r="A132" s="70" t="s">
        <v>1852</v>
      </c>
      <c r="B132" s="72" t="s">
        <v>816</v>
      </c>
      <c r="C132" s="72" t="s">
        <v>166</v>
      </c>
      <c r="D132" s="70" t="s">
        <v>174</v>
      </c>
      <c r="E132" s="71" t="n">
        <v>45619</v>
      </c>
      <c r="F132" s="72" t="s">
        <v>1749</v>
      </c>
      <c r="G132" s="113" t="s">
        <v>1715</v>
      </c>
      <c r="H132" s="72" t="s">
        <v>191</v>
      </c>
    </row>
    <row r="133" customFormat="false" ht="15" hidden="false" customHeight="true" outlineLevel="0" collapsed="false">
      <c r="A133" s="75" t="s">
        <v>1853</v>
      </c>
      <c r="B133" s="77" t="s">
        <v>816</v>
      </c>
      <c r="C133" s="77" t="s">
        <v>159</v>
      </c>
      <c r="D133" s="75" t="s">
        <v>131</v>
      </c>
      <c r="E133" s="76" t="n">
        <v>45616</v>
      </c>
      <c r="F133" s="77" t="s">
        <v>1739</v>
      </c>
      <c r="G133" s="75" t="s">
        <v>1718</v>
      </c>
      <c r="H133" s="77" t="s">
        <v>178</v>
      </c>
    </row>
    <row r="134" customFormat="false" ht="15" hidden="false" customHeight="true" outlineLevel="0" collapsed="false">
      <c r="A134" s="70" t="s">
        <v>1854</v>
      </c>
      <c r="B134" s="72" t="s">
        <v>824</v>
      </c>
      <c r="C134" s="72" t="s">
        <v>166</v>
      </c>
      <c r="D134" s="70" t="s">
        <v>131</v>
      </c>
      <c r="E134" s="71" t="n">
        <v>45448</v>
      </c>
      <c r="F134" s="72" t="s">
        <v>1720</v>
      </c>
      <c r="G134" s="113" t="s">
        <v>1715</v>
      </c>
      <c r="H134" s="72" t="s">
        <v>93</v>
      </c>
    </row>
    <row r="135" customFormat="false" ht="15" hidden="false" customHeight="true" outlineLevel="0" collapsed="false">
      <c r="A135" s="75" t="s">
        <v>1855</v>
      </c>
      <c r="B135" s="77" t="s">
        <v>827</v>
      </c>
      <c r="C135" s="77" t="s">
        <v>186</v>
      </c>
      <c r="D135" s="75" t="s">
        <v>91</v>
      </c>
      <c r="E135" s="76" t="n">
        <v>45425</v>
      </c>
      <c r="F135" s="77" t="s">
        <v>1717</v>
      </c>
      <c r="G135" s="75" t="s">
        <v>1718</v>
      </c>
      <c r="H135" s="77" t="s">
        <v>124</v>
      </c>
    </row>
    <row r="136" customFormat="false" ht="15" hidden="false" customHeight="true" outlineLevel="0" collapsed="false">
      <c r="A136" s="70" t="s">
        <v>1856</v>
      </c>
      <c r="B136" s="72" t="s">
        <v>833</v>
      </c>
      <c r="C136" s="72" t="s">
        <v>109</v>
      </c>
      <c r="D136" s="70" t="s">
        <v>110</v>
      </c>
      <c r="E136" s="71" t="n">
        <v>45525</v>
      </c>
      <c r="F136" s="72" t="s">
        <v>1714</v>
      </c>
      <c r="G136" s="113" t="s">
        <v>1715</v>
      </c>
      <c r="H136" s="72" t="s">
        <v>170</v>
      </c>
    </row>
    <row r="137" customFormat="false" ht="15" hidden="false" customHeight="true" outlineLevel="0" collapsed="false">
      <c r="A137" s="75" t="s">
        <v>1857</v>
      </c>
      <c r="B137" s="77" t="s">
        <v>836</v>
      </c>
      <c r="C137" s="77" t="s">
        <v>166</v>
      </c>
      <c r="D137" s="75" t="s">
        <v>118</v>
      </c>
      <c r="E137" s="76" t="n">
        <v>45540</v>
      </c>
      <c r="F137" s="77" t="s">
        <v>1731</v>
      </c>
      <c r="G137" s="113" t="s">
        <v>1715</v>
      </c>
      <c r="H137" s="77" t="s">
        <v>93</v>
      </c>
    </row>
    <row r="138" customFormat="false" ht="15" hidden="false" customHeight="true" outlineLevel="0" collapsed="false">
      <c r="A138" s="70" t="s">
        <v>1858</v>
      </c>
      <c r="B138" s="72" t="s">
        <v>839</v>
      </c>
      <c r="C138" s="72" t="s">
        <v>159</v>
      </c>
      <c r="D138" s="70" t="s">
        <v>110</v>
      </c>
      <c r="E138" s="71" t="n">
        <v>45667</v>
      </c>
      <c r="F138" s="72" t="s">
        <v>1749</v>
      </c>
      <c r="G138" s="70" t="s">
        <v>1718</v>
      </c>
      <c r="H138" s="72" t="s">
        <v>209</v>
      </c>
    </row>
    <row r="139" customFormat="false" ht="15" hidden="false" customHeight="true" outlineLevel="0" collapsed="false">
      <c r="A139" s="75" t="s">
        <v>1859</v>
      </c>
      <c r="B139" s="77" t="s">
        <v>842</v>
      </c>
      <c r="C139" s="77" t="s">
        <v>90</v>
      </c>
      <c r="D139" s="75" t="s">
        <v>131</v>
      </c>
      <c r="E139" s="76" t="n">
        <v>45419</v>
      </c>
      <c r="F139" s="77" t="s">
        <v>1739</v>
      </c>
      <c r="G139" s="75" t="s">
        <v>1718</v>
      </c>
      <c r="H139" s="77" t="s">
        <v>142</v>
      </c>
    </row>
    <row r="140" customFormat="false" ht="15" hidden="false" customHeight="true" outlineLevel="0" collapsed="false">
      <c r="A140" s="70" t="s">
        <v>1860</v>
      </c>
      <c r="B140" s="72" t="s">
        <v>529</v>
      </c>
      <c r="C140" s="72" t="s">
        <v>159</v>
      </c>
      <c r="D140" s="70" t="s">
        <v>131</v>
      </c>
      <c r="E140" s="71" t="n">
        <v>45513</v>
      </c>
      <c r="F140" s="72" t="s">
        <v>1731</v>
      </c>
      <c r="G140" s="113" t="s">
        <v>1715</v>
      </c>
      <c r="H140" s="72" t="s">
        <v>191</v>
      </c>
    </row>
    <row r="141" customFormat="false" ht="15" hidden="false" customHeight="true" outlineLevel="0" collapsed="false">
      <c r="A141" s="75" t="s">
        <v>1861</v>
      </c>
      <c r="B141" s="77" t="s">
        <v>683</v>
      </c>
      <c r="C141" s="77" t="s">
        <v>159</v>
      </c>
      <c r="D141" s="75" t="s">
        <v>91</v>
      </c>
      <c r="E141" s="76" t="n">
        <v>45394</v>
      </c>
      <c r="F141" s="77" t="s">
        <v>1749</v>
      </c>
      <c r="G141" s="113" t="s">
        <v>1715</v>
      </c>
      <c r="H141" s="77" t="s">
        <v>103</v>
      </c>
    </row>
    <row r="142" customFormat="false" ht="15" hidden="false" customHeight="true" outlineLevel="0" collapsed="false">
      <c r="A142" s="70" t="s">
        <v>1862</v>
      </c>
      <c r="B142" s="72" t="s">
        <v>376</v>
      </c>
      <c r="C142" s="72" t="s">
        <v>195</v>
      </c>
      <c r="D142" s="70" t="s">
        <v>101</v>
      </c>
      <c r="E142" s="71" t="n">
        <v>45511</v>
      </c>
      <c r="F142" s="72" t="s">
        <v>1714</v>
      </c>
      <c r="G142" s="113" t="s">
        <v>1715</v>
      </c>
      <c r="H142" s="72" t="s">
        <v>142</v>
      </c>
    </row>
    <row r="143" customFormat="false" ht="15" hidden="false" customHeight="true" outlineLevel="0" collapsed="false">
      <c r="A143" s="75" t="s">
        <v>1863</v>
      </c>
      <c r="B143" s="77" t="s">
        <v>857</v>
      </c>
      <c r="C143" s="77" t="s">
        <v>159</v>
      </c>
      <c r="D143" s="75" t="s">
        <v>91</v>
      </c>
      <c r="E143" s="76" t="n">
        <v>45619</v>
      </c>
      <c r="F143" s="77" t="s">
        <v>1725</v>
      </c>
      <c r="G143" s="113" t="s">
        <v>1715</v>
      </c>
      <c r="H143" s="77" t="s">
        <v>191</v>
      </c>
    </row>
    <row r="144" customFormat="false" ht="15" hidden="false" customHeight="true" outlineLevel="0" collapsed="false">
      <c r="A144" s="70" t="s">
        <v>1864</v>
      </c>
      <c r="B144" s="72" t="s">
        <v>863</v>
      </c>
      <c r="C144" s="72" t="s">
        <v>166</v>
      </c>
      <c r="D144" s="70" t="s">
        <v>174</v>
      </c>
      <c r="E144" s="71" t="n">
        <v>45439</v>
      </c>
      <c r="F144" s="72" t="s">
        <v>1722</v>
      </c>
      <c r="G144" s="113" t="s">
        <v>1715</v>
      </c>
      <c r="H144" s="72" t="s">
        <v>142</v>
      </c>
    </row>
    <row r="145" customFormat="false" ht="15" hidden="false" customHeight="true" outlineLevel="0" collapsed="false">
      <c r="A145" s="75" t="s">
        <v>1865</v>
      </c>
      <c r="B145" s="77" t="s">
        <v>868</v>
      </c>
      <c r="C145" s="77" t="s">
        <v>195</v>
      </c>
      <c r="D145" s="75" t="s">
        <v>174</v>
      </c>
      <c r="E145" s="76" t="n">
        <v>45605</v>
      </c>
      <c r="F145" s="77" t="s">
        <v>1722</v>
      </c>
      <c r="G145" s="75" t="s">
        <v>1718</v>
      </c>
      <c r="H145" s="77" t="s">
        <v>103</v>
      </c>
    </row>
    <row r="146" customFormat="false" ht="15" hidden="false" customHeight="true" outlineLevel="0" collapsed="false">
      <c r="A146" s="70" t="s">
        <v>1866</v>
      </c>
      <c r="B146" s="72" t="s">
        <v>877</v>
      </c>
      <c r="C146" s="72" t="s">
        <v>109</v>
      </c>
      <c r="D146" s="70" t="s">
        <v>118</v>
      </c>
      <c r="E146" s="71" t="n">
        <v>45483</v>
      </c>
      <c r="F146" s="72" t="s">
        <v>1733</v>
      </c>
      <c r="G146" s="113" t="s">
        <v>1715</v>
      </c>
      <c r="H146" s="72" t="s">
        <v>170</v>
      </c>
    </row>
    <row r="147" customFormat="false" ht="15" hidden="false" customHeight="true" outlineLevel="0" collapsed="false">
      <c r="A147" s="75" t="s">
        <v>1867</v>
      </c>
      <c r="B147" s="77" t="s">
        <v>895</v>
      </c>
      <c r="C147" s="77" t="s">
        <v>166</v>
      </c>
      <c r="D147" s="75" t="s">
        <v>118</v>
      </c>
      <c r="E147" s="76" t="n">
        <v>45556</v>
      </c>
      <c r="F147" s="77" t="s">
        <v>1722</v>
      </c>
      <c r="G147" s="113" t="s">
        <v>1715</v>
      </c>
      <c r="H147" s="77" t="s">
        <v>112</v>
      </c>
    </row>
    <row r="148" customFormat="false" ht="15" hidden="false" customHeight="true" outlineLevel="0" collapsed="false">
      <c r="A148" s="70" t="s">
        <v>1868</v>
      </c>
      <c r="B148" s="72" t="s">
        <v>914</v>
      </c>
      <c r="C148" s="72" t="s">
        <v>100</v>
      </c>
      <c r="D148" s="70" t="s">
        <v>131</v>
      </c>
      <c r="E148" s="71" t="n">
        <v>45533</v>
      </c>
      <c r="F148" s="72" t="s">
        <v>1722</v>
      </c>
      <c r="G148" s="113" t="s">
        <v>1715</v>
      </c>
      <c r="H148" s="72" t="s">
        <v>178</v>
      </c>
    </row>
    <row r="149" customFormat="false" ht="15" hidden="false" customHeight="true" outlineLevel="0" collapsed="false">
      <c r="A149" s="75" t="s">
        <v>1869</v>
      </c>
      <c r="B149" s="77" t="s">
        <v>148</v>
      </c>
      <c r="C149" s="77" t="s">
        <v>195</v>
      </c>
      <c r="D149" s="75" t="s">
        <v>91</v>
      </c>
      <c r="E149" s="76" t="n">
        <v>45583</v>
      </c>
      <c r="F149" s="77" t="s">
        <v>1739</v>
      </c>
      <c r="G149" s="113" t="s">
        <v>1715</v>
      </c>
      <c r="H149" s="77" t="s">
        <v>191</v>
      </c>
    </row>
    <row r="150" customFormat="false" ht="15" hidden="false" customHeight="true" outlineLevel="0" collapsed="false">
      <c r="A150" s="70" t="s">
        <v>1870</v>
      </c>
      <c r="B150" s="72" t="s">
        <v>925</v>
      </c>
      <c r="C150" s="72" t="s">
        <v>166</v>
      </c>
      <c r="D150" s="70" t="s">
        <v>91</v>
      </c>
      <c r="E150" s="71" t="n">
        <v>45730</v>
      </c>
      <c r="F150" s="72" t="s">
        <v>1722</v>
      </c>
      <c r="G150" s="113" t="s">
        <v>1715</v>
      </c>
      <c r="H150" s="72" t="s">
        <v>148</v>
      </c>
    </row>
    <row r="151" customFormat="false" ht="15" hidden="false" customHeight="true" outlineLevel="0" collapsed="false">
      <c r="A151" s="75" t="s">
        <v>1871</v>
      </c>
      <c r="B151" s="77" t="s">
        <v>633</v>
      </c>
      <c r="C151" s="77" t="s">
        <v>90</v>
      </c>
      <c r="D151" s="75" t="s">
        <v>174</v>
      </c>
      <c r="E151" s="76" t="n">
        <v>45666</v>
      </c>
      <c r="F151" s="77" t="s">
        <v>1717</v>
      </c>
      <c r="G151" s="113" t="s">
        <v>1715</v>
      </c>
      <c r="H151" s="77" t="s">
        <v>124</v>
      </c>
    </row>
    <row r="152" customFormat="false" ht="15" hidden="false" customHeight="true" outlineLevel="0" collapsed="false">
      <c r="A152" s="70" t="s">
        <v>1872</v>
      </c>
      <c r="B152" s="72" t="s">
        <v>936</v>
      </c>
      <c r="C152" s="72" t="s">
        <v>100</v>
      </c>
      <c r="D152" s="70" t="s">
        <v>110</v>
      </c>
      <c r="E152" s="71" t="n">
        <v>45418</v>
      </c>
      <c r="F152" s="72" t="s">
        <v>1725</v>
      </c>
      <c r="G152" s="70" t="s">
        <v>1718</v>
      </c>
      <c r="H152" s="72" t="s">
        <v>103</v>
      </c>
    </row>
    <row r="153" customFormat="false" ht="15" hidden="false" customHeight="true" outlineLevel="0" collapsed="false">
      <c r="A153" s="75" t="s">
        <v>1873</v>
      </c>
      <c r="B153" s="77" t="s">
        <v>305</v>
      </c>
      <c r="C153" s="77" t="s">
        <v>130</v>
      </c>
      <c r="D153" s="75" t="s">
        <v>91</v>
      </c>
      <c r="E153" s="76" t="n">
        <v>45552</v>
      </c>
      <c r="F153" s="77" t="s">
        <v>1720</v>
      </c>
      <c r="G153" s="113" t="s">
        <v>1715</v>
      </c>
      <c r="H153" s="77" t="s">
        <v>170</v>
      </c>
    </row>
    <row r="154" customFormat="false" ht="15" hidden="false" customHeight="true" outlineLevel="0" collapsed="false">
      <c r="A154" s="70" t="s">
        <v>1874</v>
      </c>
      <c r="B154" s="72" t="s">
        <v>954</v>
      </c>
      <c r="C154" s="72" t="s">
        <v>130</v>
      </c>
      <c r="D154" s="70" t="s">
        <v>91</v>
      </c>
      <c r="E154" s="71" t="n">
        <v>45537</v>
      </c>
      <c r="F154" s="72" t="s">
        <v>1739</v>
      </c>
      <c r="G154" s="113" t="s">
        <v>1715</v>
      </c>
      <c r="H154" s="72" t="s">
        <v>209</v>
      </c>
    </row>
    <row r="155" customFormat="false" ht="15" hidden="false" customHeight="true" outlineLevel="0" collapsed="false">
      <c r="A155" s="75" t="s">
        <v>1875</v>
      </c>
      <c r="B155" s="77" t="s">
        <v>966</v>
      </c>
      <c r="C155" s="77" t="s">
        <v>195</v>
      </c>
      <c r="D155" s="75" t="s">
        <v>118</v>
      </c>
      <c r="E155" s="76" t="n">
        <v>45676</v>
      </c>
      <c r="F155" s="77" t="s">
        <v>1720</v>
      </c>
      <c r="G155" s="113" t="s">
        <v>1715</v>
      </c>
      <c r="H155" s="77" t="s">
        <v>124</v>
      </c>
    </row>
    <row r="156" customFormat="false" ht="15" hidden="false" customHeight="true" outlineLevel="0" collapsed="false">
      <c r="A156" s="70" t="s">
        <v>1876</v>
      </c>
      <c r="B156" s="72" t="s">
        <v>982</v>
      </c>
      <c r="C156" s="72" t="s">
        <v>195</v>
      </c>
      <c r="D156" s="70" t="s">
        <v>101</v>
      </c>
      <c r="E156" s="71" t="n">
        <v>45718</v>
      </c>
      <c r="F156" s="72" t="s">
        <v>1733</v>
      </c>
      <c r="G156" s="113" t="s">
        <v>1715</v>
      </c>
      <c r="H156" s="72" t="s">
        <v>148</v>
      </c>
    </row>
    <row r="157" customFormat="false" ht="15" hidden="false" customHeight="true" outlineLevel="0" collapsed="false">
      <c r="A157" s="75" t="s">
        <v>1877</v>
      </c>
      <c r="B157" s="77" t="s">
        <v>987</v>
      </c>
      <c r="C157" s="77" t="s">
        <v>159</v>
      </c>
      <c r="D157" s="75" t="s">
        <v>118</v>
      </c>
      <c r="E157" s="76" t="n">
        <v>45531</v>
      </c>
      <c r="F157" s="77" t="s">
        <v>1733</v>
      </c>
      <c r="G157" s="113" t="s">
        <v>1715</v>
      </c>
      <c r="H157" s="77" t="s">
        <v>191</v>
      </c>
    </row>
    <row r="158" customFormat="false" ht="15" hidden="false" customHeight="true" outlineLevel="0" collapsed="false">
      <c r="A158" s="70" t="s">
        <v>1878</v>
      </c>
      <c r="B158" s="72" t="s">
        <v>990</v>
      </c>
      <c r="C158" s="72" t="s">
        <v>186</v>
      </c>
      <c r="D158" s="70" t="s">
        <v>118</v>
      </c>
      <c r="E158" s="71" t="n">
        <v>45692</v>
      </c>
      <c r="F158" s="72" t="s">
        <v>1739</v>
      </c>
      <c r="G158" s="113" t="s">
        <v>1715</v>
      </c>
      <c r="H158" s="72" t="s">
        <v>170</v>
      </c>
    </row>
    <row r="159" customFormat="false" ht="15" hidden="false" customHeight="true" outlineLevel="0" collapsed="false">
      <c r="A159" s="75" t="s">
        <v>1879</v>
      </c>
      <c r="B159" s="77" t="s">
        <v>993</v>
      </c>
      <c r="C159" s="77" t="s">
        <v>186</v>
      </c>
      <c r="D159" s="75" t="s">
        <v>131</v>
      </c>
      <c r="E159" s="76" t="n">
        <v>45645</v>
      </c>
      <c r="F159" s="77" t="s">
        <v>1749</v>
      </c>
      <c r="G159" s="113" t="s">
        <v>1715</v>
      </c>
      <c r="H159" s="77" t="s">
        <v>142</v>
      </c>
    </row>
    <row r="160" customFormat="false" ht="15" hidden="false" customHeight="true" outlineLevel="0" collapsed="false">
      <c r="A160" s="70" t="s">
        <v>1880</v>
      </c>
      <c r="B160" s="72" t="s">
        <v>1002</v>
      </c>
      <c r="C160" s="72" t="s">
        <v>166</v>
      </c>
      <c r="D160" s="70" t="s">
        <v>91</v>
      </c>
      <c r="E160" s="71" t="n">
        <v>45589</v>
      </c>
      <c r="F160" s="72" t="s">
        <v>1714</v>
      </c>
      <c r="G160" s="70" t="s">
        <v>1718</v>
      </c>
      <c r="H160" s="72" t="s">
        <v>142</v>
      </c>
    </row>
    <row r="161" customFormat="false" ht="15" hidden="false" customHeight="true" outlineLevel="0" collapsed="false">
      <c r="A161" s="75" t="s">
        <v>1881</v>
      </c>
      <c r="B161" s="77" t="s">
        <v>1005</v>
      </c>
      <c r="C161" s="77" t="s">
        <v>195</v>
      </c>
      <c r="D161" s="75" t="s">
        <v>91</v>
      </c>
      <c r="E161" s="76" t="n">
        <v>45527</v>
      </c>
      <c r="F161" s="77" t="s">
        <v>1714</v>
      </c>
      <c r="G161" s="75" t="s">
        <v>1718</v>
      </c>
      <c r="H161" s="77" t="s">
        <v>124</v>
      </c>
    </row>
    <row r="162" customFormat="false" ht="15" hidden="false" customHeight="true" outlineLevel="0" collapsed="false">
      <c r="A162" s="70" t="s">
        <v>1882</v>
      </c>
      <c r="B162" s="72" t="s">
        <v>1008</v>
      </c>
      <c r="C162" s="72" t="s">
        <v>166</v>
      </c>
      <c r="D162" s="70" t="s">
        <v>101</v>
      </c>
      <c r="E162" s="71" t="n">
        <v>45511</v>
      </c>
      <c r="F162" s="72" t="s">
        <v>1720</v>
      </c>
      <c r="G162" s="113" t="s">
        <v>1715</v>
      </c>
      <c r="H162" s="72" t="s">
        <v>93</v>
      </c>
    </row>
    <row r="163" customFormat="false" ht="15" hidden="false" customHeight="true" outlineLevel="0" collapsed="false">
      <c r="A163" s="75" t="s">
        <v>1883</v>
      </c>
      <c r="B163" s="77" t="s">
        <v>1014</v>
      </c>
      <c r="C163" s="77" t="s">
        <v>186</v>
      </c>
      <c r="D163" s="75" t="s">
        <v>101</v>
      </c>
      <c r="E163" s="76" t="n">
        <v>45463</v>
      </c>
      <c r="F163" s="77" t="s">
        <v>1720</v>
      </c>
      <c r="G163" s="113" t="s">
        <v>1715</v>
      </c>
      <c r="H163" s="77" t="s">
        <v>178</v>
      </c>
    </row>
    <row r="164" customFormat="false" ht="15" hidden="false" customHeight="true" outlineLevel="0" collapsed="false">
      <c r="A164" s="70" t="s">
        <v>1884</v>
      </c>
      <c r="B164" s="72" t="s">
        <v>1017</v>
      </c>
      <c r="C164" s="72" t="s">
        <v>90</v>
      </c>
      <c r="D164" s="70" t="s">
        <v>110</v>
      </c>
      <c r="E164" s="71" t="n">
        <v>45585</v>
      </c>
      <c r="F164" s="72" t="s">
        <v>1749</v>
      </c>
      <c r="G164" s="113" t="s">
        <v>1715</v>
      </c>
      <c r="H164" s="72" t="s">
        <v>112</v>
      </c>
    </row>
    <row r="165" customFormat="false" ht="15" hidden="false" customHeight="true" outlineLevel="0" collapsed="false">
      <c r="A165" s="75" t="s">
        <v>1885</v>
      </c>
      <c r="B165" s="77" t="s">
        <v>1023</v>
      </c>
      <c r="C165" s="77" t="s">
        <v>159</v>
      </c>
      <c r="D165" s="75" t="s">
        <v>131</v>
      </c>
      <c r="E165" s="76" t="n">
        <v>45535</v>
      </c>
      <c r="F165" s="77" t="s">
        <v>1733</v>
      </c>
      <c r="G165" s="75" t="s">
        <v>1718</v>
      </c>
      <c r="H165" s="77" t="s">
        <v>209</v>
      </c>
    </row>
    <row r="166" customFormat="false" ht="15" hidden="false" customHeight="true" outlineLevel="0" collapsed="false">
      <c r="A166" s="70" t="s">
        <v>1886</v>
      </c>
      <c r="B166" s="72" t="s">
        <v>1026</v>
      </c>
      <c r="C166" s="72" t="s">
        <v>130</v>
      </c>
      <c r="D166" s="70" t="s">
        <v>110</v>
      </c>
      <c r="E166" s="71" t="n">
        <v>45545</v>
      </c>
      <c r="F166" s="72" t="s">
        <v>1733</v>
      </c>
      <c r="G166" s="113" t="s">
        <v>1715</v>
      </c>
      <c r="H166" s="72" t="s">
        <v>178</v>
      </c>
    </row>
    <row r="167" customFormat="false" ht="15" hidden="false" customHeight="true" outlineLevel="0" collapsed="false">
      <c r="A167" s="75" t="s">
        <v>1887</v>
      </c>
      <c r="B167" s="77" t="s">
        <v>627</v>
      </c>
      <c r="C167" s="77" t="s">
        <v>130</v>
      </c>
      <c r="D167" s="75" t="s">
        <v>110</v>
      </c>
      <c r="E167" s="76" t="n">
        <v>45643</v>
      </c>
      <c r="F167" s="77" t="s">
        <v>1739</v>
      </c>
      <c r="G167" s="113" t="s">
        <v>1715</v>
      </c>
      <c r="H167" s="77" t="s">
        <v>103</v>
      </c>
    </row>
    <row r="168" customFormat="false" ht="15" hidden="false" customHeight="true" outlineLevel="0" collapsed="false">
      <c r="A168" s="70" t="s">
        <v>1888</v>
      </c>
      <c r="B168" s="72" t="s">
        <v>1031</v>
      </c>
      <c r="C168" s="72" t="s">
        <v>159</v>
      </c>
      <c r="D168" s="70" t="s">
        <v>174</v>
      </c>
      <c r="E168" s="71" t="n">
        <v>45689</v>
      </c>
      <c r="F168" s="72" t="s">
        <v>1731</v>
      </c>
      <c r="G168" s="70" t="s">
        <v>1718</v>
      </c>
      <c r="H168" s="72" t="s">
        <v>112</v>
      </c>
    </row>
    <row r="169" customFormat="false" ht="15" hidden="false" customHeight="true" outlineLevel="0" collapsed="false">
      <c r="A169" s="75" t="s">
        <v>1889</v>
      </c>
      <c r="B169" s="77" t="s">
        <v>639</v>
      </c>
      <c r="C169" s="77" t="s">
        <v>130</v>
      </c>
      <c r="D169" s="75" t="s">
        <v>131</v>
      </c>
      <c r="E169" s="76" t="n">
        <v>45457</v>
      </c>
      <c r="F169" s="77" t="s">
        <v>1739</v>
      </c>
      <c r="G169" s="113" t="s">
        <v>1715</v>
      </c>
      <c r="H169" s="77" t="s">
        <v>112</v>
      </c>
    </row>
    <row r="170" customFormat="false" ht="15" hidden="false" customHeight="true" outlineLevel="0" collapsed="false">
      <c r="A170" s="70" t="s">
        <v>1890</v>
      </c>
      <c r="B170" s="72" t="s">
        <v>1042</v>
      </c>
      <c r="C170" s="72" t="s">
        <v>195</v>
      </c>
      <c r="D170" s="70" t="s">
        <v>118</v>
      </c>
      <c r="E170" s="71" t="n">
        <v>45489</v>
      </c>
      <c r="F170" s="72" t="s">
        <v>1749</v>
      </c>
      <c r="G170" s="70" t="s">
        <v>1718</v>
      </c>
      <c r="H170" s="72" t="s">
        <v>124</v>
      </c>
    </row>
    <row r="171" customFormat="false" ht="15" hidden="false" customHeight="true" outlineLevel="0" collapsed="false">
      <c r="A171" s="75" t="s">
        <v>1891</v>
      </c>
      <c r="B171" s="77" t="s">
        <v>1048</v>
      </c>
      <c r="C171" s="77" t="s">
        <v>195</v>
      </c>
      <c r="D171" s="75" t="s">
        <v>110</v>
      </c>
      <c r="E171" s="76" t="n">
        <v>45578</v>
      </c>
      <c r="F171" s="77" t="s">
        <v>1725</v>
      </c>
      <c r="G171" s="113" t="s">
        <v>1715</v>
      </c>
      <c r="H171" s="77" t="s">
        <v>124</v>
      </c>
    </row>
    <row r="172" customFormat="false" ht="15" hidden="false" customHeight="true" outlineLevel="0" collapsed="false">
      <c r="A172" s="70" t="s">
        <v>1892</v>
      </c>
      <c r="B172" s="72" t="s">
        <v>1055</v>
      </c>
      <c r="C172" s="72" t="s">
        <v>159</v>
      </c>
      <c r="D172" s="70" t="s">
        <v>131</v>
      </c>
      <c r="E172" s="71" t="n">
        <v>45707</v>
      </c>
      <c r="F172" s="72" t="s">
        <v>1731</v>
      </c>
      <c r="G172" s="70" t="s">
        <v>1718</v>
      </c>
      <c r="H172" s="72" t="s">
        <v>112</v>
      </c>
    </row>
    <row r="173" customFormat="false" ht="15" hidden="false" customHeight="true" outlineLevel="0" collapsed="false">
      <c r="A173" s="75" t="s">
        <v>1893</v>
      </c>
      <c r="B173" s="77" t="s">
        <v>1058</v>
      </c>
      <c r="C173" s="77" t="s">
        <v>159</v>
      </c>
      <c r="D173" s="75" t="s">
        <v>174</v>
      </c>
      <c r="E173" s="76" t="n">
        <v>45634</v>
      </c>
      <c r="F173" s="77" t="s">
        <v>1739</v>
      </c>
      <c r="G173" s="113" t="s">
        <v>1715</v>
      </c>
      <c r="H173" s="77" t="s">
        <v>93</v>
      </c>
    </row>
    <row r="174" customFormat="false" ht="15" hidden="false" customHeight="true" outlineLevel="0" collapsed="false">
      <c r="A174" s="70" t="s">
        <v>1894</v>
      </c>
      <c r="B174" s="72" t="s">
        <v>1061</v>
      </c>
      <c r="C174" s="72" t="s">
        <v>159</v>
      </c>
      <c r="D174" s="70" t="s">
        <v>110</v>
      </c>
      <c r="E174" s="71" t="n">
        <v>45467</v>
      </c>
      <c r="F174" s="72" t="s">
        <v>1717</v>
      </c>
      <c r="G174" s="113" t="s">
        <v>1715</v>
      </c>
      <c r="H174" s="72" t="s">
        <v>148</v>
      </c>
    </row>
    <row r="175" customFormat="false" ht="15" hidden="false" customHeight="true" outlineLevel="0" collapsed="false">
      <c r="A175" s="75" t="s">
        <v>1895</v>
      </c>
      <c r="B175" s="77" t="s">
        <v>1064</v>
      </c>
      <c r="C175" s="77" t="s">
        <v>159</v>
      </c>
      <c r="D175" s="75" t="s">
        <v>174</v>
      </c>
      <c r="E175" s="76" t="n">
        <v>45658</v>
      </c>
      <c r="F175" s="77" t="s">
        <v>1739</v>
      </c>
      <c r="G175" s="75" t="s">
        <v>1718</v>
      </c>
      <c r="H175" s="77" t="s">
        <v>124</v>
      </c>
    </row>
    <row r="176" customFormat="false" ht="15" hidden="false" customHeight="true" outlineLevel="0" collapsed="false">
      <c r="A176" s="70" t="s">
        <v>1896</v>
      </c>
      <c r="B176" s="72" t="s">
        <v>1070</v>
      </c>
      <c r="C176" s="72" t="s">
        <v>159</v>
      </c>
      <c r="D176" s="70" t="s">
        <v>110</v>
      </c>
      <c r="E176" s="71" t="n">
        <v>45634</v>
      </c>
      <c r="F176" s="72" t="s">
        <v>1733</v>
      </c>
      <c r="G176" s="113" t="s">
        <v>1715</v>
      </c>
      <c r="H176" s="72" t="s">
        <v>112</v>
      </c>
    </row>
    <row r="177" customFormat="false" ht="15" hidden="false" customHeight="true" outlineLevel="0" collapsed="false">
      <c r="A177" s="75" t="s">
        <v>1897</v>
      </c>
      <c r="B177" s="77" t="s">
        <v>1076</v>
      </c>
      <c r="C177" s="77" t="s">
        <v>166</v>
      </c>
      <c r="D177" s="75" t="s">
        <v>101</v>
      </c>
      <c r="E177" s="76" t="n">
        <v>45578</v>
      </c>
      <c r="F177" s="77" t="s">
        <v>1725</v>
      </c>
      <c r="G177" s="113" t="s">
        <v>1715</v>
      </c>
      <c r="H177" s="77" t="s">
        <v>93</v>
      </c>
    </row>
    <row r="178" customFormat="false" ht="15" hidden="false" customHeight="true" outlineLevel="0" collapsed="false">
      <c r="A178" s="70" t="s">
        <v>1898</v>
      </c>
      <c r="B178" s="72" t="s">
        <v>1082</v>
      </c>
      <c r="C178" s="72" t="s">
        <v>166</v>
      </c>
      <c r="D178" s="70" t="s">
        <v>91</v>
      </c>
      <c r="E178" s="71" t="n">
        <v>45454</v>
      </c>
      <c r="F178" s="72" t="s">
        <v>1714</v>
      </c>
      <c r="G178" s="113" t="s">
        <v>1715</v>
      </c>
      <c r="H178" s="72" t="s">
        <v>209</v>
      </c>
    </row>
    <row r="179" customFormat="false" ht="15" hidden="false" customHeight="true" outlineLevel="0" collapsed="false">
      <c r="A179" s="75" t="s">
        <v>1899</v>
      </c>
      <c r="B179" s="77" t="s">
        <v>492</v>
      </c>
      <c r="C179" s="77" t="s">
        <v>90</v>
      </c>
      <c r="D179" s="75" t="s">
        <v>110</v>
      </c>
      <c r="E179" s="76" t="n">
        <v>45691</v>
      </c>
      <c r="F179" s="77" t="s">
        <v>1717</v>
      </c>
      <c r="G179" s="75" t="s">
        <v>1718</v>
      </c>
      <c r="H179" s="77" t="s">
        <v>103</v>
      </c>
    </row>
    <row r="180" customFormat="false" ht="15" hidden="false" customHeight="true" outlineLevel="0" collapsed="false">
      <c r="A180" s="70" t="s">
        <v>1900</v>
      </c>
      <c r="B180" s="72" t="s">
        <v>1087</v>
      </c>
      <c r="C180" s="72" t="s">
        <v>159</v>
      </c>
      <c r="D180" s="70" t="s">
        <v>174</v>
      </c>
      <c r="E180" s="71" t="n">
        <v>45729</v>
      </c>
      <c r="F180" s="72" t="s">
        <v>1722</v>
      </c>
      <c r="G180" s="113" t="s">
        <v>1715</v>
      </c>
      <c r="H180" s="72" t="s">
        <v>124</v>
      </c>
    </row>
    <row r="181" customFormat="false" ht="15" hidden="false" customHeight="true" outlineLevel="0" collapsed="false">
      <c r="A181" s="75" t="s">
        <v>1901</v>
      </c>
      <c r="B181" s="77" t="s">
        <v>1093</v>
      </c>
      <c r="C181" s="77" t="s">
        <v>100</v>
      </c>
      <c r="D181" s="75" t="s">
        <v>118</v>
      </c>
      <c r="E181" s="76" t="n">
        <v>45658</v>
      </c>
      <c r="F181" s="77" t="s">
        <v>1720</v>
      </c>
      <c r="G181" s="113" t="s">
        <v>1715</v>
      </c>
      <c r="H181" s="77" t="s">
        <v>148</v>
      </c>
    </row>
    <row r="182" customFormat="false" ht="15" hidden="false" customHeight="true" outlineLevel="0" collapsed="false">
      <c r="A182" s="70" t="s">
        <v>1902</v>
      </c>
      <c r="B182" s="72" t="s">
        <v>1096</v>
      </c>
      <c r="C182" s="72" t="s">
        <v>186</v>
      </c>
      <c r="D182" s="70" t="s">
        <v>118</v>
      </c>
      <c r="E182" s="71" t="n">
        <v>45705</v>
      </c>
      <c r="F182" s="72" t="s">
        <v>1717</v>
      </c>
      <c r="G182" s="70" t="s">
        <v>1718</v>
      </c>
      <c r="H182" s="72" t="s">
        <v>178</v>
      </c>
    </row>
    <row r="183" customFormat="false" ht="15" hidden="false" customHeight="true" outlineLevel="0" collapsed="false">
      <c r="A183" s="75" t="s">
        <v>1903</v>
      </c>
      <c r="B183" s="77" t="s">
        <v>1099</v>
      </c>
      <c r="C183" s="77" t="s">
        <v>166</v>
      </c>
      <c r="D183" s="75" t="s">
        <v>131</v>
      </c>
      <c r="E183" s="76" t="n">
        <v>45623</v>
      </c>
      <c r="F183" s="77" t="s">
        <v>1722</v>
      </c>
      <c r="G183" s="75" t="s">
        <v>1718</v>
      </c>
      <c r="H183" s="77" t="s">
        <v>178</v>
      </c>
    </row>
    <row r="184" customFormat="false" ht="15" hidden="false" customHeight="true" outlineLevel="0" collapsed="false">
      <c r="A184" s="70" t="s">
        <v>1904</v>
      </c>
      <c r="B184" s="72" t="s">
        <v>609</v>
      </c>
      <c r="C184" s="72" t="s">
        <v>130</v>
      </c>
      <c r="D184" s="70" t="s">
        <v>110</v>
      </c>
      <c r="E184" s="71" t="n">
        <v>45501</v>
      </c>
      <c r="F184" s="72" t="s">
        <v>1739</v>
      </c>
      <c r="G184" s="70" t="s">
        <v>1718</v>
      </c>
      <c r="H184" s="72" t="s">
        <v>93</v>
      </c>
    </row>
    <row r="185" customFormat="false" ht="15" hidden="false" customHeight="true" outlineLevel="0" collapsed="false">
      <c r="A185" s="75" t="s">
        <v>1905</v>
      </c>
      <c r="B185" s="77" t="s">
        <v>1104</v>
      </c>
      <c r="C185" s="77" t="s">
        <v>130</v>
      </c>
      <c r="D185" s="75" t="s">
        <v>110</v>
      </c>
      <c r="E185" s="76" t="n">
        <v>45602</v>
      </c>
      <c r="F185" s="77" t="s">
        <v>1731</v>
      </c>
      <c r="G185" s="113" t="s">
        <v>1715</v>
      </c>
      <c r="H185" s="77" t="s">
        <v>170</v>
      </c>
    </row>
    <row r="186" customFormat="false" ht="15" hidden="false" customHeight="true" outlineLevel="0" collapsed="false">
      <c r="A186" s="70" t="s">
        <v>1906</v>
      </c>
      <c r="B186" s="72" t="s">
        <v>573</v>
      </c>
      <c r="C186" s="72" t="s">
        <v>100</v>
      </c>
      <c r="D186" s="70" t="s">
        <v>174</v>
      </c>
      <c r="E186" s="71" t="n">
        <v>45447</v>
      </c>
      <c r="F186" s="72" t="s">
        <v>1722</v>
      </c>
      <c r="G186" s="113" t="s">
        <v>1715</v>
      </c>
      <c r="H186" s="72" t="s">
        <v>124</v>
      </c>
    </row>
    <row r="187" customFormat="false" ht="15" hidden="false" customHeight="true" outlineLevel="0" collapsed="false">
      <c r="A187" s="75" t="s">
        <v>1907</v>
      </c>
      <c r="B187" s="77" t="s">
        <v>1115</v>
      </c>
      <c r="C187" s="77" t="s">
        <v>100</v>
      </c>
      <c r="D187" s="75" t="s">
        <v>131</v>
      </c>
      <c r="E187" s="76" t="n">
        <v>45470</v>
      </c>
      <c r="F187" s="77" t="s">
        <v>1733</v>
      </c>
      <c r="G187" s="113" t="s">
        <v>1715</v>
      </c>
      <c r="H187" s="77" t="s">
        <v>112</v>
      </c>
    </row>
    <row r="188" customFormat="false" ht="15" hidden="false" customHeight="true" outlineLevel="0" collapsed="false">
      <c r="A188" s="70" t="s">
        <v>1908</v>
      </c>
      <c r="B188" s="72" t="s">
        <v>508</v>
      </c>
      <c r="C188" s="72" t="s">
        <v>100</v>
      </c>
      <c r="D188" s="70" t="s">
        <v>91</v>
      </c>
      <c r="E188" s="71" t="n">
        <v>45466</v>
      </c>
      <c r="F188" s="72" t="s">
        <v>1733</v>
      </c>
      <c r="G188" s="113" t="s">
        <v>1715</v>
      </c>
      <c r="H188" s="72" t="s">
        <v>112</v>
      </c>
    </row>
    <row r="189" customFormat="false" ht="15" hidden="false" customHeight="true" outlineLevel="0" collapsed="false">
      <c r="A189" s="75" t="s">
        <v>1909</v>
      </c>
      <c r="B189" s="77" t="s">
        <v>1120</v>
      </c>
      <c r="C189" s="77" t="s">
        <v>166</v>
      </c>
      <c r="D189" s="75" t="s">
        <v>101</v>
      </c>
      <c r="E189" s="76" t="n">
        <v>45662</v>
      </c>
      <c r="F189" s="77" t="s">
        <v>1739</v>
      </c>
      <c r="G189" s="113" t="s">
        <v>1715</v>
      </c>
      <c r="H189" s="77" t="s">
        <v>191</v>
      </c>
    </row>
    <row r="190" customFormat="false" ht="15" hidden="false" customHeight="true" outlineLevel="0" collapsed="false">
      <c r="A190" s="70" t="s">
        <v>1910</v>
      </c>
      <c r="B190" s="72" t="s">
        <v>930</v>
      </c>
      <c r="C190" s="72" t="s">
        <v>195</v>
      </c>
      <c r="D190" s="70" t="s">
        <v>110</v>
      </c>
      <c r="E190" s="71" t="n">
        <v>45481</v>
      </c>
      <c r="F190" s="72" t="s">
        <v>1720</v>
      </c>
      <c r="G190" s="70" t="s">
        <v>1718</v>
      </c>
      <c r="H190" s="72" t="s">
        <v>112</v>
      </c>
    </row>
    <row r="191" customFormat="false" ht="15" hidden="false" customHeight="true" outlineLevel="0" collapsed="false">
      <c r="A191" s="75" t="s">
        <v>1911</v>
      </c>
      <c r="B191" s="77" t="s">
        <v>1125</v>
      </c>
      <c r="C191" s="77" t="s">
        <v>195</v>
      </c>
      <c r="D191" s="75" t="s">
        <v>131</v>
      </c>
      <c r="E191" s="76" t="n">
        <v>45686</v>
      </c>
      <c r="F191" s="77" t="s">
        <v>1731</v>
      </c>
      <c r="G191" s="75" t="s">
        <v>1718</v>
      </c>
      <c r="H191" s="77" t="s">
        <v>148</v>
      </c>
    </row>
    <row r="192" customFormat="false" ht="15" hidden="false" customHeight="true" outlineLevel="0" collapsed="false">
      <c r="A192" s="70" t="s">
        <v>1912</v>
      </c>
      <c r="B192" s="72" t="s">
        <v>1134</v>
      </c>
      <c r="C192" s="72" t="s">
        <v>159</v>
      </c>
      <c r="D192" s="70" t="s">
        <v>174</v>
      </c>
      <c r="E192" s="71" t="n">
        <v>45463</v>
      </c>
      <c r="F192" s="72" t="s">
        <v>1739</v>
      </c>
      <c r="G192" s="113" t="s">
        <v>1715</v>
      </c>
      <c r="H192" s="72" t="s">
        <v>112</v>
      </c>
    </row>
    <row r="193" customFormat="false" ht="15" hidden="false" customHeight="true" outlineLevel="0" collapsed="false">
      <c r="A193" s="75" t="s">
        <v>1913</v>
      </c>
      <c r="B193" s="77" t="s">
        <v>1142</v>
      </c>
      <c r="C193" s="77" t="s">
        <v>100</v>
      </c>
      <c r="D193" s="75" t="s">
        <v>91</v>
      </c>
      <c r="E193" s="76" t="n">
        <v>45501</v>
      </c>
      <c r="F193" s="77" t="s">
        <v>1749</v>
      </c>
      <c r="G193" s="113" t="s">
        <v>1715</v>
      </c>
      <c r="H193" s="77" t="s">
        <v>209</v>
      </c>
    </row>
    <row r="194" customFormat="false" ht="15" hidden="false" customHeight="true" outlineLevel="0" collapsed="false">
      <c r="A194" s="70" t="s">
        <v>1914</v>
      </c>
      <c r="B194" s="72" t="s">
        <v>1147</v>
      </c>
      <c r="C194" s="72" t="s">
        <v>90</v>
      </c>
      <c r="D194" s="70" t="s">
        <v>118</v>
      </c>
      <c r="E194" s="71" t="n">
        <v>45654</v>
      </c>
      <c r="F194" s="72" t="s">
        <v>1733</v>
      </c>
      <c r="G194" s="113" t="s">
        <v>1715</v>
      </c>
      <c r="H194" s="72" t="s">
        <v>209</v>
      </c>
    </row>
    <row r="195" customFormat="false" ht="15" hidden="false" customHeight="true" outlineLevel="0" collapsed="false">
      <c r="A195" s="75" t="s">
        <v>1915</v>
      </c>
      <c r="B195" s="77" t="s">
        <v>496</v>
      </c>
      <c r="C195" s="77" t="s">
        <v>159</v>
      </c>
      <c r="D195" s="75" t="s">
        <v>118</v>
      </c>
      <c r="E195" s="76" t="n">
        <v>45711</v>
      </c>
      <c r="F195" s="77" t="s">
        <v>1733</v>
      </c>
      <c r="G195" s="113" t="s">
        <v>1715</v>
      </c>
      <c r="H195" s="77" t="s">
        <v>103</v>
      </c>
    </row>
    <row r="196" customFormat="false" ht="15" hidden="false" customHeight="true" outlineLevel="0" collapsed="false">
      <c r="A196" s="70" t="s">
        <v>1916</v>
      </c>
      <c r="B196" s="72" t="s">
        <v>254</v>
      </c>
      <c r="C196" s="72" t="s">
        <v>100</v>
      </c>
      <c r="D196" s="70" t="s">
        <v>101</v>
      </c>
      <c r="E196" s="71" t="n">
        <v>45434</v>
      </c>
      <c r="F196" s="72" t="s">
        <v>1722</v>
      </c>
      <c r="G196" s="113" t="s">
        <v>1715</v>
      </c>
      <c r="H196" s="72" t="s">
        <v>191</v>
      </c>
    </row>
    <row r="197" customFormat="false" ht="15" hidden="false" customHeight="true" outlineLevel="0" collapsed="false">
      <c r="A197" s="75" t="s">
        <v>1917</v>
      </c>
      <c r="B197" s="77" t="s">
        <v>191</v>
      </c>
      <c r="C197" s="77" t="s">
        <v>195</v>
      </c>
      <c r="D197" s="75" t="s">
        <v>91</v>
      </c>
      <c r="E197" s="76" t="n">
        <v>45513</v>
      </c>
      <c r="F197" s="77" t="s">
        <v>1739</v>
      </c>
      <c r="G197" s="113" t="s">
        <v>1715</v>
      </c>
      <c r="H197" s="77" t="s">
        <v>93</v>
      </c>
    </row>
    <row r="198" customFormat="false" ht="15" hidden="false" customHeight="true" outlineLevel="0" collapsed="false">
      <c r="A198" s="70" t="s">
        <v>1918</v>
      </c>
      <c r="B198" s="72" t="s">
        <v>1164</v>
      </c>
      <c r="C198" s="72" t="s">
        <v>109</v>
      </c>
      <c r="D198" s="70" t="s">
        <v>118</v>
      </c>
      <c r="E198" s="71" t="n">
        <v>45674</v>
      </c>
      <c r="F198" s="72" t="s">
        <v>1714</v>
      </c>
      <c r="G198" s="113" t="s">
        <v>1715</v>
      </c>
      <c r="H198" s="72" t="s">
        <v>148</v>
      </c>
    </row>
    <row r="199" customFormat="false" ht="15" hidden="false" customHeight="true" outlineLevel="0" collapsed="false">
      <c r="A199" s="75" t="s">
        <v>1919</v>
      </c>
      <c r="B199" s="77" t="s">
        <v>911</v>
      </c>
      <c r="C199" s="77" t="s">
        <v>109</v>
      </c>
      <c r="D199" s="75" t="s">
        <v>91</v>
      </c>
      <c r="E199" s="76" t="n">
        <v>45498</v>
      </c>
      <c r="F199" s="77" t="s">
        <v>1733</v>
      </c>
      <c r="G199" s="75" t="s">
        <v>1718</v>
      </c>
      <c r="H199" s="77" t="s">
        <v>148</v>
      </c>
    </row>
    <row r="200" customFormat="false" ht="15" hidden="false" customHeight="true" outlineLevel="0" collapsed="false">
      <c r="A200" s="70" t="s">
        <v>1920</v>
      </c>
      <c r="B200" s="72" t="s">
        <v>1178</v>
      </c>
      <c r="C200" s="72" t="s">
        <v>166</v>
      </c>
      <c r="D200" s="70" t="s">
        <v>174</v>
      </c>
      <c r="E200" s="71" t="n">
        <v>45443</v>
      </c>
      <c r="F200" s="72" t="s">
        <v>1733</v>
      </c>
      <c r="G200" s="113" t="s">
        <v>1715</v>
      </c>
      <c r="H200" s="72" t="s">
        <v>112</v>
      </c>
    </row>
    <row r="201" customFormat="false" ht="15" hidden="false" customHeight="true" outlineLevel="0" collapsed="false">
      <c r="A201" s="75" t="s">
        <v>1921</v>
      </c>
      <c r="B201" s="77" t="s">
        <v>1181</v>
      </c>
      <c r="C201" s="77" t="s">
        <v>100</v>
      </c>
      <c r="D201" s="75" t="s">
        <v>131</v>
      </c>
      <c r="E201" s="76" t="n">
        <v>45656</v>
      </c>
      <c r="F201" s="77" t="s">
        <v>1722</v>
      </c>
      <c r="G201" s="75" t="s">
        <v>1718</v>
      </c>
      <c r="H201" s="77" t="s">
        <v>93</v>
      </c>
    </row>
    <row r="202" customFormat="false" ht="15" hidden="false" customHeight="true" outlineLevel="0" collapsed="false">
      <c r="A202" s="70" t="s">
        <v>1922</v>
      </c>
      <c r="B202" s="72" t="s">
        <v>1184</v>
      </c>
      <c r="C202" s="72" t="s">
        <v>90</v>
      </c>
      <c r="D202" s="70" t="s">
        <v>101</v>
      </c>
      <c r="E202" s="71" t="n">
        <v>45517</v>
      </c>
      <c r="F202" s="72" t="s">
        <v>1720</v>
      </c>
      <c r="G202" s="113" t="s">
        <v>1715</v>
      </c>
      <c r="H202" s="72" t="s">
        <v>170</v>
      </c>
    </row>
    <row r="203" customFormat="false" ht="15" hidden="false" customHeight="true" outlineLevel="0" collapsed="false">
      <c r="A203" s="75" t="s">
        <v>1923</v>
      </c>
      <c r="B203" s="77" t="s">
        <v>1187</v>
      </c>
      <c r="C203" s="77" t="s">
        <v>159</v>
      </c>
      <c r="D203" s="75" t="s">
        <v>174</v>
      </c>
      <c r="E203" s="76" t="n">
        <v>45712</v>
      </c>
      <c r="F203" s="77" t="s">
        <v>1733</v>
      </c>
      <c r="G203" s="113" t="s">
        <v>1715</v>
      </c>
      <c r="H203" s="77" t="s">
        <v>178</v>
      </c>
    </row>
    <row r="204" customFormat="false" ht="15" hidden="false" customHeight="true" outlineLevel="0" collapsed="false">
      <c r="A204" s="70" t="s">
        <v>1924</v>
      </c>
      <c r="B204" s="72" t="s">
        <v>1195</v>
      </c>
      <c r="C204" s="72" t="s">
        <v>109</v>
      </c>
      <c r="D204" s="70" t="s">
        <v>174</v>
      </c>
      <c r="E204" s="71" t="n">
        <v>45430</v>
      </c>
      <c r="F204" s="72" t="s">
        <v>1725</v>
      </c>
      <c r="G204" s="113" t="s">
        <v>1715</v>
      </c>
      <c r="H204" s="72" t="s">
        <v>209</v>
      </c>
    </row>
    <row r="205" customFormat="false" ht="15" hidden="false" customHeight="true" outlineLevel="0" collapsed="false">
      <c r="A205" s="75" t="s">
        <v>1925</v>
      </c>
      <c r="B205" s="77" t="s">
        <v>1201</v>
      </c>
      <c r="C205" s="77" t="s">
        <v>109</v>
      </c>
      <c r="D205" s="75" t="s">
        <v>91</v>
      </c>
      <c r="E205" s="76" t="n">
        <v>45452</v>
      </c>
      <c r="F205" s="77" t="s">
        <v>1749</v>
      </c>
      <c r="G205" s="113" t="s">
        <v>1715</v>
      </c>
      <c r="H205" s="77" t="s">
        <v>148</v>
      </c>
    </row>
    <row r="206" customFormat="false" ht="15" hidden="false" customHeight="true" outlineLevel="0" collapsed="false">
      <c r="A206" s="70" t="s">
        <v>1926</v>
      </c>
      <c r="B206" s="72" t="s">
        <v>1204</v>
      </c>
      <c r="C206" s="72" t="s">
        <v>166</v>
      </c>
      <c r="D206" s="70" t="s">
        <v>174</v>
      </c>
      <c r="E206" s="71" t="n">
        <v>45605</v>
      </c>
      <c r="F206" s="72" t="s">
        <v>1725</v>
      </c>
      <c r="G206" s="113" t="s">
        <v>1715</v>
      </c>
      <c r="H206" s="72" t="s">
        <v>170</v>
      </c>
    </row>
    <row r="207" customFormat="false" ht="15" hidden="false" customHeight="true" outlineLevel="0" collapsed="false">
      <c r="A207" s="75" t="s">
        <v>1927</v>
      </c>
      <c r="B207" s="77" t="s">
        <v>1216</v>
      </c>
      <c r="C207" s="77" t="s">
        <v>109</v>
      </c>
      <c r="D207" s="75" t="s">
        <v>118</v>
      </c>
      <c r="E207" s="76" t="n">
        <v>45649</v>
      </c>
      <c r="F207" s="77" t="s">
        <v>1720</v>
      </c>
      <c r="G207" s="75" t="s">
        <v>1718</v>
      </c>
      <c r="H207" s="77" t="s">
        <v>103</v>
      </c>
    </row>
    <row r="208" customFormat="false" ht="15" hidden="false" customHeight="true" outlineLevel="0" collapsed="false">
      <c r="A208" s="70" t="s">
        <v>1928</v>
      </c>
      <c r="B208" s="72" t="s">
        <v>1228</v>
      </c>
      <c r="C208" s="72" t="s">
        <v>159</v>
      </c>
      <c r="D208" s="70" t="s">
        <v>101</v>
      </c>
      <c r="E208" s="71" t="n">
        <v>45563</v>
      </c>
      <c r="F208" s="72" t="s">
        <v>1714</v>
      </c>
      <c r="G208" s="113" t="s">
        <v>1715</v>
      </c>
      <c r="H208" s="72" t="s">
        <v>124</v>
      </c>
    </row>
    <row r="209" customFormat="false" ht="15" hidden="false" customHeight="true" outlineLevel="0" collapsed="false">
      <c r="A209" s="75" t="s">
        <v>1929</v>
      </c>
      <c r="B209" s="77" t="s">
        <v>1231</v>
      </c>
      <c r="C209" s="77" t="s">
        <v>90</v>
      </c>
      <c r="D209" s="75" t="s">
        <v>101</v>
      </c>
      <c r="E209" s="76" t="n">
        <v>45594</v>
      </c>
      <c r="F209" s="77" t="s">
        <v>1733</v>
      </c>
      <c r="G209" s="113" t="s">
        <v>1715</v>
      </c>
      <c r="H209" s="77" t="s">
        <v>209</v>
      </c>
    </row>
    <row r="210" customFormat="false" ht="15" hidden="false" customHeight="true" outlineLevel="0" collapsed="false">
      <c r="A210" s="70" t="s">
        <v>1930</v>
      </c>
      <c r="B210" s="72" t="s">
        <v>1234</v>
      </c>
      <c r="C210" s="72" t="s">
        <v>166</v>
      </c>
      <c r="D210" s="70" t="s">
        <v>131</v>
      </c>
      <c r="E210" s="71" t="n">
        <v>45591</v>
      </c>
      <c r="F210" s="72" t="s">
        <v>1717</v>
      </c>
      <c r="G210" s="70" t="s">
        <v>1718</v>
      </c>
      <c r="H210" s="72" t="s">
        <v>209</v>
      </c>
    </row>
    <row r="211" customFormat="false" ht="15" hidden="false" customHeight="true" outlineLevel="0" collapsed="false">
      <c r="A211" s="75" t="s">
        <v>1931</v>
      </c>
      <c r="B211" s="77" t="s">
        <v>1237</v>
      </c>
      <c r="C211" s="77" t="s">
        <v>100</v>
      </c>
      <c r="D211" s="75" t="s">
        <v>101</v>
      </c>
      <c r="E211" s="76" t="n">
        <v>45713</v>
      </c>
      <c r="F211" s="77" t="s">
        <v>1739</v>
      </c>
      <c r="G211" s="75" t="s">
        <v>1718</v>
      </c>
      <c r="H211" s="77" t="s">
        <v>209</v>
      </c>
    </row>
    <row r="212" customFormat="false" ht="15" hidden="false" customHeight="true" outlineLevel="0" collapsed="false">
      <c r="A212" s="70" t="s">
        <v>1932</v>
      </c>
      <c r="B212" s="72" t="s">
        <v>1243</v>
      </c>
      <c r="C212" s="72" t="s">
        <v>90</v>
      </c>
      <c r="D212" s="70" t="s">
        <v>110</v>
      </c>
      <c r="E212" s="71" t="n">
        <v>45623</v>
      </c>
      <c r="F212" s="72" t="s">
        <v>1733</v>
      </c>
      <c r="G212" s="113" t="s">
        <v>1715</v>
      </c>
      <c r="H212" s="72" t="s">
        <v>170</v>
      </c>
    </row>
    <row r="213" customFormat="false" ht="15" hidden="false" customHeight="true" outlineLevel="0" collapsed="false">
      <c r="A213" s="75" t="s">
        <v>1933</v>
      </c>
      <c r="B213" s="77" t="s">
        <v>1246</v>
      </c>
      <c r="C213" s="77" t="s">
        <v>195</v>
      </c>
      <c r="D213" s="75" t="s">
        <v>101</v>
      </c>
      <c r="E213" s="76" t="n">
        <v>45420</v>
      </c>
      <c r="F213" s="77" t="s">
        <v>1749</v>
      </c>
      <c r="G213" s="113" t="s">
        <v>1715</v>
      </c>
      <c r="H213" s="77" t="s">
        <v>124</v>
      </c>
    </row>
    <row r="214" customFormat="false" ht="15" hidden="false" customHeight="true" outlineLevel="0" collapsed="false">
      <c r="A214" s="70" t="s">
        <v>1934</v>
      </c>
      <c r="B214" s="72" t="s">
        <v>1252</v>
      </c>
      <c r="C214" s="72" t="s">
        <v>130</v>
      </c>
      <c r="D214" s="70" t="s">
        <v>131</v>
      </c>
      <c r="E214" s="71" t="n">
        <v>45604</v>
      </c>
      <c r="F214" s="72" t="s">
        <v>1733</v>
      </c>
      <c r="G214" s="113" t="s">
        <v>1715</v>
      </c>
      <c r="H214" s="72" t="s">
        <v>124</v>
      </c>
    </row>
    <row r="215" customFormat="false" ht="15" hidden="false" customHeight="true" outlineLevel="0" collapsed="false">
      <c r="A215" s="75" t="s">
        <v>1935</v>
      </c>
      <c r="B215" s="77" t="s">
        <v>1255</v>
      </c>
      <c r="C215" s="77" t="s">
        <v>159</v>
      </c>
      <c r="D215" s="75" t="s">
        <v>101</v>
      </c>
      <c r="E215" s="76" t="n">
        <v>45528</v>
      </c>
      <c r="F215" s="77" t="s">
        <v>1731</v>
      </c>
      <c r="G215" s="75" t="s">
        <v>1718</v>
      </c>
      <c r="H215" s="77" t="s">
        <v>93</v>
      </c>
    </row>
    <row r="216" customFormat="false" ht="15" hidden="false" customHeight="true" outlineLevel="0" collapsed="false">
      <c r="A216" s="70" t="s">
        <v>1936</v>
      </c>
      <c r="B216" s="72" t="s">
        <v>245</v>
      </c>
      <c r="C216" s="72" t="s">
        <v>100</v>
      </c>
      <c r="D216" s="70" t="s">
        <v>131</v>
      </c>
      <c r="E216" s="71" t="n">
        <v>45405</v>
      </c>
      <c r="F216" s="72" t="s">
        <v>1725</v>
      </c>
      <c r="G216" s="70" t="s">
        <v>1718</v>
      </c>
      <c r="H216" s="72" t="s">
        <v>142</v>
      </c>
    </row>
    <row r="217" customFormat="false" ht="15" hidden="false" customHeight="true" outlineLevel="0" collapsed="false">
      <c r="A217" s="75" t="s">
        <v>1937</v>
      </c>
      <c r="B217" s="77" t="s">
        <v>1260</v>
      </c>
      <c r="C217" s="77" t="s">
        <v>186</v>
      </c>
      <c r="D217" s="75" t="s">
        <v>131</v>
      </c>
      <c r="E217" s="76" t="n">
        <v>45526</v>
      </c>
      <c r="F217" s="77" t="s">
        <v>1733</v>
      </c>
      <c r="G217" s="113" t="s">
        <v>1715</v>
      </c>
      <c r="H217" s="77" t="s">
        <v>178</v>
      </c>
    </row>
    <row r="218" customFormat="false" ht="15" hidden="false" customHeight="true" outlineLevel="0" collapsed="false">
      <c r="A218" s="70" t="s">
        <v>1938</v>
      </c>
      <c r="B218" s="72" t="s">
        <v>1263</v>
      </c>
      <c r="C218" s="72" t="s">
        <v>109</v>
      </c>
      <c r="D218" s="70" t="s">
        <v>174</v>
      </c>
      <c r="E218" s="71" t="n">
        <v>45532</v>
      </c>
      <c r="F218" s="72" t="s">
        <v>1739</v>
      </c>
      <c r="G218" s="70" t="s">
        <v>1718</v>
      </c>
      <c r="H218" s="72" t="s">
        <v>124</v>
      </c>
    </row>
    <row r="219" customFormat="false" ht="15" hidden="false" customHeight="true" outlineLevel="0" collapsed="false">
      <c r="A219" s="75" t="s">
        <v>1939</v>
      </c>
      <c r="B219" s="77" t="s">
        <v>1266</v>
      </c>
      <c r="C219" s="77" t="s">
        <v>100</v>
      </c>
      <c r="D219" s="75" t="s">
        <v>91</v>
      </c>
      <c r="E219" s="76" t="n">
        <v>45574</v>
      </c>
      <c r="F219" s="77" t="s">
        <v>1725</v>
      </c>
      <c r="G219" s="75" t="s">
        <v>1718</v>
      </c>
      <c r="H219" s="77" t="s">
        <v>124</v>
      </c>
    </row>
    <row r="220" customFormat="false" ht="15" hidden="false" customHeight="true" outlineLevel="0" collapsed="false">
      <c r="A220" s="70" t="s">
        <v>1940</v>
      </c>
      <c r="B220" s="72" t="s">
        <v>1269</v>
      </c>
      <c r="C220" s="72" t="s">
        <v>195</v>
      </c>
      <c r="D220" s="70" t="s">
        <v>174</v>
      </c>
      <c r="E220" s="71" t="n">
        <v>45686</v>
      </c>
      <c r="F220" s="72" t="s">
        <v>1714</v>
      </c>
      <c r="G220" s="113" t="s">
        <v>1715</v>
      </c>
      <c r="H220" s="72" t="s">
        <v>209</v>
      </c>
    </row>
    <row r="221" customFormat="false" ht="15" hidden="false" customHeight="true" outlineLevel="0" collapsed="false">
      <c r="A221" s="75" t="s">
        <v>1941</v>
      </c>
      <c r="B221" s="77" t="s">
        <v>738</v>
      </c>
      <c r="C221" s="77" t="s">
        <v>109</v>
      </c>
      <c r="D221" s="75" t="s">
        <v>118</v>
      </c>
      <c r="E221" s="76" t="n">
        <v>45677</v>
      </c>
      <c r="F221" s="77" t="s">
        <v>1714</v>
      </c>
      <c r="G221" s="113" t="s">
        <v>1715</v>
      </c>
      <c r="H221" s="77" t="s">
        <v>191</v>
      </c>
    </row>
    <row r="222" customFormat="false" ht="15" hidden="false" customHeight="true" outlineLevel="0" collapsed="false">
      <c r="A222" s="70" t="s">
        <v>1942</v>
      </c>
      <c r="B222" s="72" t="s">
        <v>1274</v>
      </c>
      <c r="C222" s="72" t="s">
        <v>166</v>
      </c>
      <c r="D222" s="70" t="s">
        <v>131</v>
      </c>
      <c r="E222" s="71" t="n">
        <v>45441</v>
      </c>
      <c r="F222" s="72" t="s">
        <v>1731</v>
      </c>
      <c r="G222" s="113" t="s">
        <v>1715</v>
      </c>
      <c r="H222" s="72" t="s">
        <v>124</v>
      </c>
    </row>
    <row r="223" customFormat="false" ht="15" hidden="false" customHeight="true" outlineLevel="0" collapsed="false">
      <c r="A223" s="75" t="s">
        <v>1943</v>
      </c>
      <c r="B223" s="77" t="s">
        <v>1277</v>
      </c>
      <c r="C223" s="77" t="s">
        <v>100</v>
      </c>
      <c r="D223" s="75" t="s">
        <v>131</v>
      </c>
      <c r="E223" s="76" t="n">
        <v>45658</v>
      </c>
      <c r="F223" s="77" t="s">
        <v>1720</v>
      </c>
      <c r="G223" s="113" t="s">
        <v>1715</v>
      </c>
      <c r="H223" s="77" t="s">
        <v>209</v>
      </c>
    </row>
    <row r="224" customFormat="false" ht="15" hidden="false" customHeight="true" outlineLevel="0" collapsed="false">
      <c r="A224" s="70" t="s">
        <v>1944</v>
      </c>
      <c r="B224" s="72" t="s">
        <v>1280</v>
      </c>
      <c r="C224" s="72" t="s">
        <v>166</v>
      </c>
      <c r="D224" s="70" t="s">
        <v>91</v>
      </c>
      <c r="E224" s="71" t="n">
        <v>45440</v>
      </c>
      <c r="F224" s="72" t="s">
        <v>1725</v>
      </c>
      <c r="G224" s="113" t="s">
        <v>1715</v>
      </c>
      <c r="H224" s="72" t="s">
        <v>148</v>
      </c>
    </row>
    <row r="225" customFormat="false" ht="15" hidden="false" customHeight="true" outlineLevel="0" collapsed="false">
      <c r="A225" s="75" t="s">
        <v>1945</v>
      </c>
      <c r="B225" s="77" t="s">
        <v>1283</v>
      </c>
      <c r="C225" s="77" t="s">
        <v>109</v>
      </c>
      <c r="D225" s="75" t="s">
        <v>174</v>
      </c>
      <c r="E225" s="76" t="n">
        <v>45459</v>
      </c>
      <c r="F225" s="77" t="s">
        <v>1731</v>
      </c>
      <c r="G225" s="113" t="s">
        <v>1715</v>
      </c>
      <c r="H225" s="77" t="s">
        <v>170</v>
      </c>
    </row>
    <row r="226" customFormat="false" ht="15" hidden="false" customHeight="true" outlineLevel="0" collapsed="false">
      <c r="A226" s="70" t="s">
        <v>1946</v>
      </c>
      <c r="B226" s="72" t="s">
        <v>1289</v>
      </c>
      <c r="C226" s="72" t="s">
        <v>90</v>
      </c>
      <c r="D226" s="70" t="s">
        <v>131</v>
      </c>
      <c r="E226" s="71" t="n">
        <v>45699</v>
      </c>
      <c r="F226" s="72" t="s">
        <v>1717</v>
      </c>
      <c r="G226" s="113" t="s">
        <v>1715</v>
      </c>
      <c r="H226" s="72" t="s">
        <v>93</v>
      </c>
    </row>
    <row r="227" customFormat="false" ht="15" hidden="false" customHeight="true" outlineLevel="0" collapsed="false">
      <c r="A227" s="75" t="s">
        <v>1947</v>
      </c>
      <c r="B227" s="77" t="s">
        <v>1292</v>
      </c>
      <c r="C227" s="77" t="s">
        <v>130</v>
      </c>
      <c r="D227" s="75" t="s">
        <v>131</v>
      </c>
      <c r="E227" s="76" t="n">
        <v>45586</v>
      </c>
      <c r="F227" s="77" t="s">
        <v>1739</v>
      </c>
      <c r="G227" s="75" t="s">
        <v>1718</v>
      </c>
      <c r="H227" s="77" t="s">
        <v>142</v>
      </c>
    </row>
    <row r="228" customFormat="false" ht="15" hidden="false" customHeight="true" outlineLevel="0" collapsed="false">
      <c r="A228" s="70" t="s">
        <v>1948</v>
      </c>
      <c r="B228" s="72" t="s">
        <v>1295</v>
      </c>
      <c r="C228" s="72" t="s">
        <v>130</v>
      </c>
      <c r="D228" s="70" t="s">
        <v>174</v>
      </c>
      <c r="E228" s="71" t="n">
        <v>45425</v>
      </c>
      <c r="F228" s="72" t="s">
        <v>1714</v>
      </c>
      <c r="G228" s="113" t="s">
        <v>1715</v>
      </c>
      <c r="H228" s="72" t="s">
        <v>148</v>
      </c>
    </row>
    <row r="229" customFormat="false" ht="15" hidden="false" customHeight="true" outlineLevel="0" collapsed="false">
      <c r="A229" s="75" t="s">
        <v>1949</v>
      </c>
      <c r="B229" s="77" t="s">
        <v>1301</v>
      </c>
      <c r="C229" s="77" t="s">
        <v>109</v>
      </c>
      <c r="D229" s="75" t="s">
        <v>118</v>
      </c>
      <c r="E229" s="76" t="n">
        <v>45437</v>
      </c>
      <c r="F229" s="77" t="s">
        <v>1731</v>
      </c>
      <c r="G229" s="113" t="s">
        <v>1715</v>
      </c>
      <c r="H229" s="77" t="s">
        <v>124</v>
      </c>
    </row>
    <row r="230" customFormat="false" ht="15" hidden="false" customHeight="true" outlineLevel="0" collapsed="false">
      <c r="A230" s="70" t="s">
        <v>1950</v>
      </c>
      <c r="B230" s="72" t="s">
        <v>1304</v>
      </c>
      <c r="C230" s="72" t="s">
        <v>195</v>
      </c>
      <c r="D230" s="70" t="s">
        <v>118</v>
      </c>
      <c r="E230" s="71" t="n">
        <v>45433</v>
      </c>
      <c r="F230" s="72" t="s">
        <v>1714</v>
      </c>
      <c r="G230" s="70" t="s">
        <v>1718</v>
      </c>
      <c r="H230" s="72" t="s">
        <v>103</v>
      </c>
    </row>
    <row r="231" customFormat="false" ht="15" hidden="false" customHeight="true" outlineLevel="0" collapsed="false">
      <c r="A231" s="75" t="s">
        <v>1951</v>
      </c>
      <c r="B231" s="77" t="s">
        <v>1313</v>
      </c>
      <c r="C231" s="77" t="s">
        <v>90</v>
      </c>
      <c r="D231" s="75" t="s">
        <v>131</v>
      </c>
      <c r="E231" s="76" t="n">
        <v>45620</v>
      </c>
      <c r="F231" s="77" t="s">
        <v>1725</v>
      </c>
      <c r="G231" s="75" t="s">
        <v>1718</v>
      </c>
      <c r="H231" s="77" t="s">
        <v>124</v>
      </c>
    </row>
    <row r="232" customFormat="false" ht="15" hidden="false" customHeight="true" outlineLevel="0" collapsed="false">
      <c r="A232" s="70" t="s">
        <v>1952</v>
      </c>
      <c r="B232" s="72" t="s">
        <v>1316</v>
      </c>
      <c r="C232" s="72" t="s">
        <v>195</v>
      </c>
      <c r="D232" s="70" t="s">
        <v>101</v>
      </c>
      <c r="E232" s="71" t="n">
        <v>45397</v>
      </c>
      <c r="F232" s="72" t="s">
        <v>1722</v>
      </c>
      <c r="G232" s="113" t="s">
        <v>1715</v>
      </c>
      <c r="H232" s="72" t="s">
        <v>112</v>
      </c>
    </row>
    <row r="233" customFormat="false" ht="15" hidden="false" customHeight="true" outlineLevel="0" collapsed="false">
      <c r="A233" s="75" t="s">
        <v>1953</v>
      </c>
      <c r="B233" s="77" t="s">
        <v>1319</v>
      </c>
      <c r="C233" s="77" t="s">
        <v>100</v>
      </c>
      <c r="D233" s="75" t="s">
        <v>118</v>
      </c>
      <c r="E233" s="76" t="n">
        <v>45675</v>
      </c>
      <c r="F233" s="77" t="s">
        <v>1714</v>
      </c>
      <c r="G233" s="113" t="s">
        <v>1715</v>
      </c>
      <c r="H233" s="77" t="s">
        <v>124</v>
      </c>
    </row>
    <row r="234" customFormat="false" ht="15" hidden="false" customHeight="true" outlineLevel="0" collapsed="false">
      <c r="A234" s="70" t="s">
        <v>1954</v>
      </c>
      <c r="B234" s="72" t="s">
        <v>1322</v>
      </c>
      <c r="C234" s="72" t="s">
        <v>90</v>
      </c>
      <c r="D234" s="70" t="s">
        <v>118</v>
      </c>
      <c r="E234" s="71" t="n">
        <v>45705</v>
      </c>
      <c r="F234" s="72" t="s">
        <v>1739</v>
      </c>
      <c r="G234" s="113" t="s">
        <v>1715</v>
      </c>
      <c r="H234" s="72" t="s">
        <v>124</v>
      </c>
    </row>
    <row r="235" customFormat="false" ht="15" hidden="false" customHeight="true" outlineLevel="0" collapsed="false">
      <c r="A235" s="75" t="s">
        <v>1955</v>
      </c>
      <c r="B235" s="77" t="s">
        <v>486</v>
      </c>
      <c r="C235" s="77" t="s">
        <v>90</v>
      </c>
      <c r="D235" s="75" t="s">
        <v>118</v>
      </c>
      <c r="E235" s="76" t="n">
        <v>45717</v>
      </c>
      <c r="F235" s="77" t="s">
        <v>1722</v>
      </c>
      <c r="G235" s="113" t="s">
        <v>1715</v>
      </c>
      <c r="H235" s="77" t="s">
        <v>148</v>
      </c>
    </row>
    <row r="236" customFormat="false" ht="15" hidden="false" customHeight="true" outlineLevel="0" collapsed="false">
      <c r="A236" s="70" t="s">
        <v>1956</v>
      </c>
      <c r="B236" s="72" t="s">
        <v>833</v>
      </c>
      <c r="C236" s="72" t="s">
        <v>159</v>
      </c>
      <c r="D236" s="70" t="s">
        <v>101</v>
      </c>
      <c r="E236" s="71" t="n">
        <v>45521</v>
      </c>
      <c r="F236" s="72" t="s">
        <v>1749</v>
      </c>
      <c r="G236" s="70" t="s">
        <v>1718</v>
      </c>
      <c r="H236" s="72" t="s">
        <v>124</v>
      </c>
    </row>
    <row r="237" customFormat="false" ht="15" hidden="false" customHeight="true" outlineLevel="0" collapsed="false">
      <c r="A237" s="75" t="s">
        <v>1957</v>
      </c>
      <c r="B237" s="77" t="s">
        <v>1335</v>
      </c>
      <c r="C237" s="77" t="s">
        <v>195</v>
      </c>
      <c r="D237" s="75" t="s">
        <v>91</v>
      </c>
      <c r="E237" s="76" t="n">
        <v>45501</v>
      </c>
      <c r="F237" s="77" t="s">
        <v>1749</v>
      </c>
      <c r="G237" s="113" t="s">
        <v>1715</v>
      </c>
      <c r="H237" s="77" t="s">
        <v>93</v>
      </c>
    </row>
    <row r="238" customFormat="false" ht="15" hidden="false" customHeight="true" outlineLevel="0" collapsed="false">
      <c r="A238" s="70" t="s">
        <v>1958</v>
      </c>
      <c r="B238" s="72" t="s">
        <v>1346</v>
      </c>
      <c r="C238" s="72" t="s">
        <v>109</v>
      </c>
      <c r="D238" s="70" t="s">
        <v>174</v>
      </c>
      <c r="E238" s="71" t="n">
        <v>45567</v>
      </c>
      <c r="F238" s="72" t="s">
        <v>1714</v>
      </c>
      <c r="G238" s="70" t="s">
        <v>1718</v>
      </c>
      <c r="H238" s="72" t="s">
        <v>103</v>
      </c>
    </row>
    <row r="239" customFormat="false" ht="15" hidden="false" customHeight="true" outlineLevel="0" collapsed="false">
      <c r="A239" s="75" t="s">
        <v>1959</v>
      </c>
      <c r="B239" s="77" t="s">
        <v>1355</v>
      </c>
      <c r="C239" s="77" t="s">
        <v>109</v>
      </c>
      <c r="D239" s="75" t="s">
        <v>118</v>
      </c>
      <c r="E239" s="76" t="n">
        <v>45510</v>
      </c>
      <c r="F239" s="77" t="s">
        <v>1749</v>
      </c>
      <c r="G239" s="75" t="s">
        <v>1718</v>
      </c>
      <c r="H239" s="77" t="s">
        <v>209</v>
      </c>
    </row>
    <row r="240" customFormat="false" ht="15" hidden="false" customHeight="true" outlineLevel="0" collapsed="false">
      <c r="A240" s="70" t="s">
        <v>1960</v>
      </c>
      <c r="B240" s="72" t="s">
        <v>804</v>
      </c>
      <c r="C240" s="72" t="s">
        <v>90</v>
      </c>
      <c r="D240" s="70" t="s">
        <v>118</v>
      </c>
      <c r="E240" s="71" t="n">
        <v>45400</v>
      </c>
      <c r="F240" s="72" t="s">
        <v>1725</v>
      </c>
      <c r="G240" s="113" t="s">
        <v>1715</v>
      </c>
      <c r="H240" s="72" t="s">
        <v>148</v>
      </c>
    </row>
    <row r="241" customFormat="false" ht="15" hidden="false" customHeight="true" outlineLevel="0" collapsed="false">
      <c r="A241" s="75" t="s">
        <v>1961</v>
      </c>
      <c r="B241" s="77" t="s">
        <v>1368</v>
      </c>
      <c r="C241" s="77" t="s">
        <v>100</v>
      </c>
      <c r="D241" s="75" t="s">
        <v>101</v>
      </c>
      <c r="E241" s="76" t="n">
        <v>45524</v>
      </c>
      <c r="F241" s="77" t="s">
        <v>1733</v>
      </c>
      <c r="G241" s="113" t="s">
        <v>1715</v>
      </c>
      <c r="H241" s="77" t="s">
        <v>124</v>
      </c>
    </row>
    <row r="242" customFormat="false" ht="15" hidden="false" customHeight="true" outlineLevel="0" collapsed="false">
      <c r="A242" s="70" t="s">
        <v>1962</v>
      </c>
      <c r="B242" s="72" t="s">
        <v>1371</v>
      </c>
      <c r="C242" s="72" t="s">
        <v>159</v>
      </c>
      <c r="D242" s="70" t="s">
        <v>110</v>
      </c>
      <c r="E242" s="71" t="n">
        <v>45606</v>
      </c>
      <c r="F242" s="72" t="s">
        <v>1714</v>
      </c>
      <c r="G242" s="113" t="s">
        <v>1715</v>
      </c>
      <c r="H242" s="72" t="s">
        <v>142</v>
      </c>
    </row>
    <row r="243" customFormat="false" ht="15" hidden="false" customHeight="true" outlineLevel="0" collapsed="false">
      <c r="A243" s="75" t="s">
        <v>1963</v>
      </c>
      <c r="B243" s="77" t="s">
        <v>1374</v>
      </c>
      <c r="C243" s="77" t="s">
        <v>130</v>
      </c>
      <c r="D243" s="75" t="s">
        <v>110</v>
      </c>
      <c r="E243" s="76" t="n">
        <v>45574</v>
      </c>
      <c r="F243" s="77" t="s">
        <v>1749</v>
      </c>
      <c r="G243" s="113" t="s">
        <v>1715</v>
      </c>
      <c r="H243" s="77" t="s">
        <v>148</v>
      </c>
    </row>
    <row r="244" customFormat="false" ht="15" hidden="false" customHeight="true" outlineLevel="0" collapsed="false">
      <c r="A244" s="70" t="s">
        <v>1964</v>
      </c>
      <c r="B244" s="72" t="s">
        <v>1039</v>
      </c>
      <c r="C244" s="72" t="s">
        <v>130</v>
      </c>
      <c r="D244" s="70" t="s">
        <v>101</v>
      </c>
      <c r="E244" s="71" t="n">
        <v>45450</v>
      </c>
      <c r="F244" s="72" t="s">
        <v>1722</v>
      </c>
      <c r="G244" s="70" t="s">
        <v>1718</v>
      </c>
      <c r="H244" s="72" t="s">
        <v>112</v>
      </c>
    </row>
    <row r="245" customFormat="false" ht="15" hidden="false" customHeight="true" outlineLevel="0" collapsed="false">
      <c r="A245" s="75" t="s">
        <v>1965</v>
      </c>
      <c r="B245" s="77" t="s">
        <v>1388</v>
      </c>
      <c r="C245" s="77" t="s">
        <v>109</v>
      </c>
      <c r="D245" s="75" t="s">
        <v>174</v>
      </c>
      <c r="E245" s="76" t="n">
        <v>45441</v>
      </c>
      <c r="F245" s="77" t="s">
        <v>1717</v>
      </c>
      <c r="G245" s="75" t="s">
        <v>1718</v>
      </c>
      <c r="H245" s="77" t="s">
        <v>148</v>
      </c>
    </row>
    <row r="246" customFormat="false" ht="15" hidden="false" customHeight="true" outlineLevel="0" collapsed="false">
      <c r="A246" s="70" t="s">
        <v>1966</v>
      </c>
      <c r="B246" s="72" t="s">
        <v>1391</v>
      </c>
      <c r="C246" s="72" t="s">
        <v>130</v>
      </c>
      <c r="D246" s="70" t="s">
        <v>131</v>
      </c>
      <c r="E246" s="71" t="n">
        <v>45507</v>
      </c>
      <c r="F246" s="72" t="s">
        <v>1733</v>
      </c>
      <c r="G246" s="70" t="s">
        <v>1718</v>
      </c>
      <c r="H246" s="72" t="s">
        <v>93</v>
      </c>
    </row>
    <row r="247" customFormat="false" ht="15" hidden="false" customHeight="true" outlineLevel="0" collapsed="false">
      <c r="A247" s="75" t="s">
        <v>1967</v>
      </c>
      <c r="B247" s="77" t="s">
        <v>1394</v>
      </c>
      <c r="C247" s="77" t="s">
        <v>195</v>
      </c>
      <c r="D247" s="75" t="s">
        <v>131</v>
      </c>
      <c r="E247" s="76" t="n">
        <v>45477</v>
      </c>
      <c r="F247" s="77" t="s">
        <v>1720</v>
      </c>
      <c r="G247" s="113" t="s">
        <v>1715</v>
      </c>
      <c r="H247" s="77" t="s">
        <v>103</v>
      </c>
    </row>
    <row r="248" customFormat="false" ht="15" hidden="false" customHeight="true" outlineLevel="0" collapsed="false">
      <c r="A248" s="70" t="s">
        <v>1968</v>
      </c>
      <c r="B248" s="72" t="s">
        <v>1374</v>
      </c>
      <c r="C248" s="72" t="s">
        <v>159</v>
      </c>
      <c r="D248" s="70" t="s">
        <v>174</v>
      </c>
      <c r="E248" s="71" t="n">
        <v>45647</v>
      </c>
      <c r="F248" s="72" t="s">
        <v>1725</v>
      </c>
      <c r="G248" s="70" t="s">
        <v>1718</v>
      </c>
      <c r="H248" s="72" t="s">
        <v>170</v>
      </c>
    </row>
    <row r="249" customFormat="false" ht="15" hidden="false" customHeight="true" outlineLevel="0" collapsed="false">
      <c r="A249" s="75" t="s">
        <v>1969</v>
      </c>
      <c r="B249" s="77" t="s">
        <v>1404</v>
      </c>
      <c r="C249" s="77" t="s">
        <v>100</v>
      </c>
      <c r="D249" s="75" t="s">
        <v>131</v>
      </c>
      <c r="E249" s="76" t="n">
        <v>45481</v>
      </c>
      <c r="F249" s="77" t="s">
        <v>1720</v>
      </c>
      <c r="G249" s="75" t="s">
        <v>1718</v>
      </c>
      <c r="H249" s="77" t="s">
        <v>178</v>
      </c>
    </row>
    <row r="250" customFormat="false" ht="15" hidden="false" customHeight="true" outlineLevel="0" collapsed="false">
      <c r="A250" s="70" t="s">
        <v>1970</v>
      </c>
      <c r="B250" s="72" t="s">
        <v>1410</v>
      </c>
      <c r="C250" s="72" t="s">
        <v>130</v>
      </c>
      <c r="D250" s="70" t="s">
        <v>110</v>
      </c>
      <c r="E250" s="71" t="n">
        <v>45560</v>
      </c>
      <c r="F250" s="72" t="s">
        <v>1722</v>
      </c>
      <c r="G250" s="113" t="s">
        <v>1715</v>
      </c>
      <c r="H250" s="72" t="s">
        <v>142</v>
      </c>
    </row>
    <row r="251" customFormat="false" ht="15" hidden="false" customHeight="true" outlineLevel="0" collapsed="false">
      <c r="A251" s="75" t="s">
        <v>1971</v>
      </c>
      <c r="B251" s="77" t="s">
        <v>1413</v>
      </c>
      <c r="C251" s="77" t="s">
        <v>90</v>
      </c>
      <c r="D251" s="75" t="s">
        <v>101</v>
      </c>
      <c r="E251" s="76" t="n">
        <v>45400</v>
      </c>
      <c r="F251" s="77" t="s">
        <v>1717</v>
      </c>
      <c r="G251" s="113" t="s">
        <v>1715</v>
      </c>
      <c r="H251" s="77" t="s">
        <v>170</v>
      </c>
    </row>
    <row r="252" customFormat="false" ht="15" hidden="false" customHeight="true" outlineLevel="0" collapsed="false">
      <c r="A252" s="70" t="s">
        <v>1972</v>
      </c>
      <c r="B252" s="72" t="s">
        <v>1419</v>
      </c>
      <c r="C252" s="72" t="s">
        <v>195</v>
      </c>
      <c r="D252" s="70" t="s">
        <v>131</v>
      </c>
      <c r="E252" s="71" t="n">
        <v>45441</v>
      </c>
      <c r="F252" s="72" t="s">
        <v>1749</v>
      </c>
      <c r="G252" s="113" t="s">
        <v>1715</v>
      </c>
      <c r="H252" s="72" t="s">
        <v>191</v>
      </c>
    </row>
    <row r="253" customFormat="false" ht="15" hidden="false" customHeight="true" outlineLevel="0" collapsed="false">
      <c r="A253" s="75" t="s">
        <v>1973</v>
      </c>
      <c r="B253" s="77" t="s">
        <v>526</v>
      </c>
      <c r="C253" s="77" t="s">
        <v>130</v>
      </c>
      <c r="D253" s="75" t="s">
        <v>174</v>
      </c>
      <c r="E253" s="76" t="n">
        <v>45689</v>
      </c>
      <c r="F253" s="77" t="s">
        <v>1717</v>
      </c>
      <c r="G253" s="113" t="s">
        <v>1715</v>
      </c>
      <c r="H253" s="77" t="s">
        <v>124</v>
      </c>
    </row>
    <row r="254" customFormat="false" ht="15" hidden="false" customHeight="true" outlineLevel="0" collapsed="false">
      <c r="A254" s="70" t="s">
        <v>1974</v>
      </c>
      <c r="B254" s="72" t="s">
        <v>1433</v>
      </c>
      <c r="C254" s="72" t="s">
        <v>109</v>
      </c>
      <c r="D254" s="70" t="s">
        <v>174</v>
      </c>
      <c r="E254" s="71" t="n">
        <v>45688</v>
      </c>
      <c r="F254" s="72" t="s">
        <v>1739</v>
      </c>
      <c r="G254" s="113" t="s">
        <v>1715</v>
      </c>
      <c r="H254" s="72" t="s">
        <v>170</v>
      </c>
    </row>
    <row r="255" customFormat="false" ht="15" hidden="false" customHeight="true" outlineLevel="0" collapsed="false">
      <c r="A255" s="75" t="s">
        <v>1975</v>
      </c>
      <c r="B255" s="77" t="s">
        <v>1436</v>
      </c>
      <c r="C255" s="77" t="s">
        <v>130</v>
      </c>
      <c r="D255" s="75" t="s">
        <v>91</v>
      </c>
      <c r="E255" s="76" t="n">
        <v>45600</v>
      </c>
      <c r="F255" s="77" t="s">
        <v>1714</v>
      </c>
      <c r="G255" s="75" t="s">
        <v>1718</v>
      </c>
      <c r="H255" s="77" t="s">
        <v>209</v>
      </c>
    </row>
    <row r="256" customFormat="false" ht="15" hidden="false" customHeight="true" outlineLevel="0" collapsed="false">
      <c r="A256" s="70" t="s">
        <v>1976</v>
      </c>
      <c r="B256" s="72" t="s">
        <v>1439</v>
      </c>
      <c r="C256" s="72" t="s">
        <v>159</v>
      </c>
      <c r="D256" s="70" t="s">
        <v>91</v>
      </c>
      <c r="E256" s="71" t="n">
        <v>45708</v>
      </c>
      <c r="F256" s="72" t="s">
        <v>1717</v>
      </c>
      <c r="G256" s="113" t="s">
        <v>1715</v>
      </c>
      <c r="H256" s="72" t="s">
        <v>148</v>
      </c>
    </row>
    <row r="257" customFormat="false" ht="15" hidden="false" customHeight="true" outlineLevel="0" collapsed="false">
      <c r="A257" s="75" t="s">
        <v>1977</v>
      </c>
      <c r="B257" s="77" t="s">
        <v>1444</v>
      </c>
      <c r="C257" s="77" t="s">
        <v>109</v>
      </c>
      <c r="D257" s="75" t="s">
        <v>91</v>
      </c>
      <c r="E257" s="76" t="n">
        <v>45398</v>
      </c>
      <c r="F257" s="77" t="s">
        <v>1720</v>
      </c>
      <c r="G257" s="75" t="s">
        <v>1718</v>
      </c>
      <c r="H257" s="77" t="s">
        <v>191</v>
      </c>
    </row>
    <row r="258" customFormat="false" ht="15" hidden="false" customHeight="true" outlineLevel="0" collapsed="false">
      <c r="A258" s="70" t="s">
        <v>1978</v>
      </c>
      <c r="B258" s="72" t="s">
        <v>1447</v>
      </c>
      <c r="C258" s="72" t="s">
        <v>109</v>
      </c>
      <c r="D258" s="70" t="s">
        <v>174</v>
      </c>
      <c r="E258" s="71" t="n">
        <v>45631</v>
      </c>
      <c r="F258" s="72" t="s">
        <v>1717</v>
      </c>
      <c r="G258" s="113" t="s">
        <v>1715</v>
      </c>
      <c r="H258" s="72" t="s">
        <v>142</v>
      </c>
    </row>
    <row r="259" customFormat="false" ht="15" hidden="false" customHeight="true" outlineLevel="0" collapsed="false">
      <c r="A259" s="75" t="s">
        <v>1979</v>
      </c>
      <c r="B259" s="77" t="s">
        <v>1450</v>
      </c>
      <c r="C259" s="77" t="s">
        <v>130</v>
      </c>
      <c r="D259" s="75" t="s">
        <v>174</v>
      </c>
      <c r="E259" s="76" t="n">
        <v>45665</v>
      </c>
      <c r="F259" s="77" t="s">
        <v>1717</v>
      </c>
      <c r="G259" s="113" t="s">
        <v>1715</v>
      </c>
      <c r="H259" s="77" t="s">
        <v>148</v>
      </c>
    </row>
    <row r="260" customFormat="false" ht="15" hidden="false" customHeight="true" outlineLevel="0" collapsed="false">
      <c r="A260" s="70" t="s">
        <v>1980</v>
      </c>
      <c r="B260" s="72" t="s">
        <v>499</v>
      </c>
      <c r="C260" s="72" t="s">
        <v>186</v>
      </c>
      <c r="D260" s="70" t="s">
        <v>110</v>
      </c>
      <c r="E260" s="71" t="n">
        <v>45717</v>
      </c>
      <c r="F260" s="72" t="s">
        <v>1749</v>
      </c>
      <c r="G260" s="113" t="s">
        <v>1715</v>
      </c>
      <c r="H260" s="72" t="s">
        <v>191</v>
      </c>
    </row>
    <row r="261" customFormat="false" ht="15" hidden="false" customHeight="true" outlineLevel="0" collapsed="false">
      <c r="A261" s="75" t="s">
        <v>1981</v>
      </c>
      <c r="B261" s="77" t="s">
        <v>1461</v>
      </c>
      <c r="C261" s="77" t="s">
        <v>159</v>
      </c>
      <c r="D261" s="75" t="s">
        <v>131</v>
      </c>
      <c r="E261" s="76" t="n">
        <v>45464</v>
      </c>
      <c r="F261" s="77" t="s">
        <v>1739</v>
      </c>
      <c r="G261" s="113" t="s">
        <v>1715</v>
      </c>
      <c r="H261" s="77" t="s">
        <v>170</v>
      </c>
    </row>
    <row r="262" customFormat="false" ht="15" hidden="false" customHeight="true" outlineLevel="0" collapsed="false">
      <c r="A262" s="70" t="s">
        <v>1982</v>
      </c>
      <c r="B262" s="72" t="s">
        <v>540</v>
      </c>
      <c r="C262" s="72" t="s">
        <v>186</v>
      </c>
      <c r="D262" s="70" t="s">
        <v>110</v>
      </c>
      <c r="E262" s="71" t="n">
        <v>45595</v>
      </c>
      <c r="F262" s="72" t="s">
        <v>1725</v>
      </c>
      <c r="G262" s="113" t="s">
        <v>1715</v>
      </c>
      <c r="H262" s="72" t="s">
        <v>170</v>
      </c>
    </row>
    <row r="263" customFormat="false" ht="15" hidden="false" customHeight="true" outlineLevel="0" collapsed="false">
      <c r="A263" s="75" t="s">
        <v>1983</v>
      </c>
      <c r="B263" s="77" t="s">
        <v>251</v>
      </c>
      <c r="C263" s="77" t="s">
        <v>90</v>
      </c>
      <c r="D263" s="75" t="s">
        <v>118</v>
      </c>
      <c r="E263" s="76" t="n">
        <v>45392</v>
      </c>
      <c r="F263" s="77" t="s">
        <v>1717</v>
      </c>
      <c r="G263" s="113" t="s">
        <v>1715</v>
      </c>
      <c r="H263" s="77" t="s">
        <v>142</v>
      </c>
    </row>
    <row r="264" customFormat="false" ht="15" hidden="false" customHeight="true" outlineLevel="0" collapsed="false">
      <c r="A264" s="70" t="s">
        <v>1984</v>
      </c>
      <c r="B264" s="72" t="s">
        <v>1327</v>
      </c>
      <c r="C264" s="72" t="s">
        <v>130</v>
      </c>
      <c r="D264" s="70" t="s">
        <v>118</v>
      </c>
      <c r="E264" s="71" t="n">
        <v>45707</v>
      </c>
      <c r="F264" s="72" t="s">
        <v>1733</v>
      </c>
      <c r="G264" s="113" t="s">
        <v>1715</v>
      </c>
      <c r="H264" s="72" t="s">
        <v>178</v>
      </c>
    </row>
    <row r="265" customFormat="false" ht="15" hidden="false" customHeight="true" outlineLevel="0" collapsed="false">
      <c r="A265" s="75" t="s">
        <v>1985</v>
      </c>
      <c r="B265" s="77" t="s">
        <v>1475</v>
      </c>
      <c r="C265" s="77" t="s">
        <v>109</v>
      </c>
      <c r="D265" s="75" t="s">
        <v>110</v>
      </c>
      <c r="E265" s="76" t="n">
        <v>45675</v>
      </c>
      <c r="F265" s="77" t="s">
        <v>1717</v>
      </c>
      <c r="G265" s="113" t="s">
        <v>1715</v>
      </c>
      <c r="H265" s="77" t="s">
        <v>148</v>
      </c>
    </row>
    <row r="266" customFormat="false" ht="15" hidden="false" customHeight="true" outlineLevel="0" collapsed="false">
      <c r="A266" s="70" t="s">
        <v>1986</v>
      </c>
      <c r="B266" s="72" t="s">
        <v>1478</v>
      </c>
      <c r="C266" s="72" t="s">
        <v>90</v>
      </c>
      <c r="D266" s="70" t="s">
        <v>131</v>
      </c>
      <c r="E266" s="71" t="n">
        <v>45672</v>
      </c>
      <c r="F266" s="72" t="s">
        <v>1720</v>
      </c>
      <c r="G266" s="70" t="s">
        <v>1718</v>
      </c>
      <c r="H266" s="72" t="s">
        <v>93</v>
      </c>
    </row>
    <row r="267" customFormat="false" ht="15" hidden="false" customHeight="true" outlineLevel="0" collapsed="false">
      <c r="A267" s="75" t="s">
        <v>1987</v>
      </c>
      <c r="B267" s="77" t="s">
        <v>1481</v>
      </c>
      <c r="C267" s="77" t="s">
        <v>186</v>
      </c>
      <c r="D267" s="75" t="s">
        <v>101</v>
      </c>
      <c r="E267" s="76" t="n">
        <v>45457</v>
      </c>
      <c r="F267" s="77" t="s">
        <v>1749</v>
      </c>
      <c r="G267" s="113" t="s">
        <v>1715</v>
      </c>
      <c r="H267" s="77" t="s">
        <v>124</v>
      </c>
    </row>
    <row r="268" customFormat="false" ht="15" hidden="false" customHeight="true" outlineLevel="0" collapsed="false">
      <c r="A268" s="70" t="s">
        <v>1988</v>
      </c>
      <c r="B268" s="72" t="s">
        <v>1484</v>
      </c>
      <c r="C268" s="72" t="s">
        <v>130</v>
      </c>
      <c r="D268" s="70" t="s">
        <v>131</v>
      </c>
      <c r="E268" s="71" t="n">
        <v>45456</v>
      </c>
      <c r="F268" s="72" t="s">
        <v>1714</v>
      </c>
      <c r="G268" s="113" t="s">
        <v>1715</v>
      </c>
      <c r="H268" s="72" t="s">
        <v>148</v>
      </c>
    </row>
    <row r="269" customFormat="false" ht="15" hidden="false" customHeight="true" outlineLevel="0" collapsed="false">
      <c r="A269" s="75" t="s">
        <v>1989</v>
      </c>
      <c r="B269" s="77" t="s">
        <v>1490</v>
      </c>
      <c r="C269" s="77" t="s">
        <v>130</v>
      </c>
      <c r="D269" s="75" t="s">
        <v>131</v>
      </c>
      <c r="E269" s="76" t="n">
        <v>45522</v>
      </c>
      <c r="F269" s="77" t="s">
        <v>1720</v>
      </c>
      <c r="G269" s="113" t="s">
        <v>1715</v>
      </c>
      <c r="H269" s="77" t="s">
        <v>124</v>
      </c>
    </row>
    <row r="270" customFormat="false" ht="15" hidden="false" customHeight="true" outlineLevel="0" collapsed="false">
      <c r="A270" s="70" t="s">
        <v>1990</v>
      </c>
      <c r="B270" s="72" t="s">
        <v>1493</v>
      </c>
      <c r="C270" s="72" t="s">
        <v>159</v>
      </c>
      <c r="D270" s="70" t="s">
        <v>110</v>
      </c>
      <c r="E270" s="71" t="n">
        <v>45715</v>
      </c>
      <c r="F270" s="72" t="s">
        <v>1714</v>
      </c>
      <c r="G270" s="70" t="s">
        <v>1718</v>
      </c>
      <c r="H270" s="72" t="s">
        <v>191</v>
      </c>
    </row>
    <row r="271" customFormat="false" ht="15" hidden="false" customHeight="true" outlineLevel="0" collapsed="false">
      <c r="A271" s="75" t="s">
        <v>1991</v>
      </c>
      <c r="B271" s="77" t="s">
        <v>1496</v>
      </c>
      <c r="C271" s="77" t="s">
        <v>195</v>
      </c>
      <c r="D271" s="75" t="s">
        <v>110</v>
      </c>
      <c r="E271" s="76" t="n">
        <v>45667</v>
      </c>
      <c r="F271" s="77" t="s">
        <v>1714</v>
      </c>
      <c r="G271" s="113" t="s">
        <v>1715</v>
      </c>
      <c r="H271" s="77" t="s">
        <v>170</v>
      </c>
    </row>
    <row r="272" customFormat="false" ht="15" hidden="false" customHeight="true" outlineLevel="0" collapsed="false">
      <c r="A272" s="70" t="s">
        <v>1992</v>
      </c>
      <c r="B272" s="72" t="s">
        <v>1499</v>
      </c>
      <c r="C272" s="72" t="s">
        <v>130</v>
      </c>
      <c r="D272" s="70" t="s">
        <v>101</v>
      </c>
      <c r="E272" s="71" t="n">
        <v>45568</v>
      </c>
      <c r="F272" s="72" t="s">
        <v>1725</v>
      </c>
      <c r="G272" s="113" t="s">
        <v>1715</v>
      </c>
      <c r="H272" s="72" t="s">
        <v>124</v>
      </c>
    </row>
    <row r="273" customFormat="false" ht="15" hidden="false" customHeight="true" outlineLevel="0" collapsed="false">
      <c r="A273" s="75" t="s">
        <v>1993</v>
      </c>
      <c r="B273" s="77" t="s">
        <v>1502</v>
      </c>
      <c r="C273" s="77" t="s">
        <v>109</v>
      </c>
      <c r="D273" s="75" t="s">
        <v>101</v>
      </c>
      <c r="E273" s="76" t="n">
        <v>45555</v>
      </c>
      <c r="F273" s="77" t="s">
        <v>1725</v>
      </c>
      <c r="G273" s="113" t="s">
        <v>1715</v>
      </c>
      <c r="H273" s="77" t="s">
        <v>170</v>
      </c>
    </row>
    <row r="274" customFormat="false" ht="15" hidden="false" customHeight="true" outlineLevel="0" collapsed="false">
      <c r="A274" s="70" t="s">
        <v>1994</v>
      </c>
      <c r="B274" s="72" t="s">
        <v>1510</v>
      </c>
      <c r="C274" s="72" t="s">
        <v>109</v>
      </c>
      <c r="D274" s="70" t="s">
        <v>91</v>
      </c>
      <c r="E274" s="71" t="n">
        <v>45667</v>
      </c>
      <c r="F274" s="72" t="s">
        <v>1714</v>
      </c>
      <c r="G274" s="113" t="s">
        <v>1715</v>
      </c>
      <c r="H274" s="72" t="s">
        <v>191</v>
      </c>
    </row>
    <row r="275" customFormat="false" ht="15" hidden="false" customHeight="true" outlineLevel="0" collapsed="false">
      <c r="A275" s="75" t="s">
        <v>1995</v>
      </c>
      <c r="B275" s="77" t="s">
        <v>1523</v>
      </c>
      <c r="C275" s="77" t="s">
        <v>166</v>
      </c>
      <c r="D275" s="75" t="s">
        <v>101</v>
      </c>
      <c r="E275" s="76" t="n">
        <v>45668</v>
      </c>
      <c r="F275" s="77" t="s">
        <v>1720</v>
      </c>
      <c r="G275" s="75" t="s">
        <v>1718</v>
      </c>
      <c r="H275" s="77" t="s">
        <v>209</v>
      </c>
    </row>
    <row r="276" customFormat="false" ht="15" hidden="false" customHeight="true" outlineLevel="0" collapsed="false">
      <c r="A276" s="70" t="s">
        <v>1996</v>
      </c>
      <c r="B276" s="72" t="s">
        <v>1537</v>
      </c>
      <c r="C276" s="72" t="s">
        <v>130</v>
      </c>
      <c r="D276" s="70" t="s">
        <v>101</v>
      </c>
      <c r="E276" s="71" t="n">
        <v>45442</v>
      </c>
      <c r="F276" s="72" t="s">
        <v>1739</v>
      </c>
      <c r="G276" s="113" t="s">
        <v>1715</v>
      </c>
      <c r="H276" s="72" t="s">
        <v>170</v>
      </c>
    </row>
    <row r="277" customFormat="false" ht="15" hidden="false" customHeight="true" outlineLevel="0" collapsed="false">
      <c r="A277" s="75" t="s">
        <v>1997</v>
      </c>
      <c r="B277" s="77" t="s">
        <v>222</v>
      </c>
      <c r="C277" s="77" t="s">
        <v>109</v>
      </c>
      <c r="D277" s="75" t="s">
        <v>101</v>
      </c>
      <c r="E277" s="76" t="n">
        <v>45734</v>
      </c>
      <c r="F277" s="77" t="s">
        <v>1720</v>
      </c>
      <c r="G277" s="75" t="s">
        <v>1718</v>
      </c>
      <c r="H277" s="77" t="s">
        <v>178</v>
      </c>
    </row>
    <row r="278" customFormat="false" ht="15" hidden="false" customHeight="true" outlineLevel="0" collapsed="false">
      <c r="A278" s="70" t="s">
        <v>1998</v>
      </c>
      <c r="B278" s="72" t="s">
        <v>1064</v>
      </c>
      <c r="C278" s="72" t="s">
        <v>100</v>
      </c>
      <c r="D278" s="70" t="s">
        <v>174</v>
      </c>
      <c r="E278" s="71" t="n">
        <v>45594</v>
      </c>
      <c r="F278" s="72" t="s">
        <v>1717</v>
      </c>
      <c r="G278" s="113" t="s">
        <v>1715</v>
      </c>
      <c r="H278" s="72" t="s">
        <v>191</v>
      </c>
    </row>
    <row r="279" customFormat="false" ht="15" hidden="false" customHeight="true" outlineLevel="0" collapsed="false">
      <c r="A279" s="75" t="s">
        <v>1999</v>
      </c>
      <c r="B279" s="77" t="s">
        <v>1552</v>
      </c>
      <c r="C279" s="77" t="s">
        <v>109</v>
      </c>
      <c r="D279" s="75" t="s">
        <v>91</v>
      </c>
      <c r="E279" s="76" t="n">
        <v>45478</v>
      </c>
      <c r="F279" s="77" t="s">
        <v>1717</v>
      </c>
      <c r="G279" s="75" t="s">
        <v>1718</v>
      </c>
      <c r="H279" s="77" t="s">
        <v>209</v>
      </c>
    </row>
    <row r="280" customFormat="false" ht="15" hidden="false" customHeight="true" outlineLevel="0" collapsed="false">
      <c r="A280" s="70" t="s">
        <v>2000</v>
      </c>
      <c r="B280" s="72" t="s">
        <v>1558</v>
      </c>
      <c r="C280" s="72" t="s">
        <v>166</v>
      </c>
      <c r="D280" s="70" t="s">
        <v>174</v>
      </c>
      <c r="E280" s="71" t="n">
        <v>45399</v>
      </c>
      <c r="F280" s="72" t="s">
        <v>1733</v>
      </c>
      <c r="G280" s="113" t="s">
        <v>1715</v>
      </c>
      <c r="H280" s="72" t="s">
        <v>170</v>
      </c>
    </row>
    <row r="281" customFormat="false" ht="15" hidden="false" customHeight="true" outlineLevel="0" collapsed="false">
      <c r="A281" s="75" t="s">
        <v>2001</v>
      </c>
      <c r="B281" s="77" t="s">
        <v>1201</v>
      </c>
      <c r="C281" s="77" t="s">
        <v>130</v>
      </c>
      <c r="D281" s="75" t="s">
        <v>118</v>
      </c>
      <c r="E281" s="76" t="n">
        <v>45459</v>
      </c>
      <c r="F281" s="77" t="s">
        <v>1714</v>
      </c>
      <c r="G281" s="113" t="s">
        <v>1715</v>
      </c>
      <c r="H281" s="77" t="s">
        <v>142</v>
      </c>
    </row>
    <row r="282" customFormat="false" ht="15" hidden="false" customHeight="true" outlineLevel="0" collapsed="false">
      <c r="A282" s="70" t="s">
        <v>2002</v>
      </c>
      <c r="B282" s="72" t="s">
        <v>1566</v>
      </c>
      <c r="C282" s="72" t="s">
        <v>166</v>
      </c>
      <c r="D282" s="70" t="s">
        <v>174</v>
      </c>
      <c r="E282" s="71" t="n">
        <v>45606</v>
      </c>
      <c r="F282" s="72" t="s">
        <v>1739</v>
      </c>
      <c r="G282" s="70" t="s">
        <v>1718</v>
      </c>
      <c r="H282" s="72" t="s">
        <v>148</v>
      </c>
    </row>
    <row r="283" customFormat="false" ht="15" hidden="false" customHeight="true" outlineLevel="0" collapsed="false">
      <c r="A283" s="75" t="s">
        <v>2003</v>
      </c>
      <c r="B283" s="77" t="s">
        <v>1569</v>
      </c>
      <c r="C283" s="77" t="s">
        <v>90</v>
      </c>
      <c r="D283" s="75" t="s">
        <v>110</v>
      </c>
      <c r="E283" s="76" t="n">
        <v>45699</v>
      </c>
      <c r="F283" s="77" t="s">
        <v>1717</v>
      </c>
      <c r="G283" s="113" t="s">
        <v>1715</v>
      </c>
      <c r="H283" s="77" t="s">
        <v>178</v>
      </c>
    </row>
    <row r="284" customFormat="false" ht="15" hidden="false" customHeight="true" outlineLevel="0" collapsed="false">
      <c r="A284" s="70" t="s">
        <v>2004</v>
      </c>
      <c r="B284" s="72" t="s">
        <v>1195</v>
      </c>
      <c r="C284" s="72" t="s">
        <v>159</v>
      </c>
      <c r="D284" s="70" t="s">
        <v>101</v>
      </c>
      <c r="E284" s="71" t="n">
        <v>45584</v>
      </c>
      <c r="F284" s="72" t="s">
        <v>1733</v>
      </c>
      <c r="G284" s="113" t="s">
        <v>1715</v>
      </c>
      <c r="H284" s="72" t="s">
        <v>170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6" min="6" style="1" width="20"/>
    <col collapsed="false" customWidth="true" hidden="false" outlineLevel="0" max="7" min="7" style="1" width="13"/>
    <col collapsed="false" customWidth="true" hidden="false" outlineLevel="0" max="8" min="8" style="1" width="16"/>
    <col collapsed="false" customWidth="true" hidden="false" outlineLevel="0" max="9" min="9" style="1" width="14"/>
  </cols>
  <sheetData>
    <row r="1" customFormat="false" ht="31.5" hidden="false" customHeight="true" outlineLevel="0" collapsed="false">
      <c r="A1" s="68" t="s">
        <v>2005</v>
      </c>
      <c r="B1" s="68"/>
      <c r="C1" s="68"/>
      <c r="D1" s="68"/>
      <c r="E1" s="68"/>
      <c r="F1" s="68"/>
      <c r="G1" s="68"/>
      <c r="H1" s="68"/>
      <c r="I1" s="68"/>
    </row>
    <row r="2" customFormat="false" ht="18" hidden="false" customHeight="true" outlineLevel="0" collapsed="false">
      <c r="A2" s="4" t="s">
        <v>2006</v>
      </c>
      <c r="B2" s="4"/>
      <c r="C2" s="4"/>
      <c r="D2" s="4"/>
      <c r="E2" s="4"/>
      <c r="F2" s="4"/>
      <c r="G2" s="4"/>
      <c r="H2" s="4"/>
      <c r="I2" s="4"/>
    </row>
    <row r="3" customFormat="false" ht="19.5" hidden="false" customHeight="true" outlineLevel="0" collapsed="false">
      <c r="A3" s="69" t="s">
        <v>1585</v>
      </c>
      <c r="B3" s="69" t="s">
        <v>2007</v>
      </c>
      <c r="C3" s="69" t="s">
        <v>2008</v>
      </c>
      <c r="D3" s="69" t="s">
        <v>1589</v>
      </c>
      <c r="E3" s="69" t="s">
        <v>1590</v>
      </c>
      <c r="F3" s="69" t="s">
        <v>1591</v>
      </c>
      <c r="G3" s="69" t="s">
        <v>1592</v>
      </c>
      <c r="H3" s="69" t="s">
        <v>2009</v>
      </c>
      <c r="I3" s="69" t="s">
        <v>2010</v>
      </c>
    </row>
    <row r="4" customFormat="false" ht="15" hidden="false" customHeight="true" outlineLevel="0" collapsed="false">
      <c r="A4" s="85" t="n">
        <f aca="false">IFERROR(RANK(F4,F$4:F$11,0),"-")</f>
        <v>2</v>
      </c>
      <c r="B4" s="86" t="s">
        <v>494</v>
      </c>
      <c r="C4" s="87" t="n">
        <f aca="false">COUNTIFS('Lead Management'!$P$4:$P$503,B4)</f>
        <v>9</v>
      </c>
      <c r="D4" s="87" t="n">
        <f aca="false">COUNTIFS('Lead Management'!$P$4:$P$503,B4,'Lead Management'!$K$4:$K$503,"Site Visit Completed")+COUNTIFS('Lead Management'!$P$4:$P$503,B4,'Lead Management'!$K$4:$K$503,"Booked")</f>
        <v>5</v>
      </c>
      <c r="E4" s="87" t="n">
        <f aca="false">COUNTIFS('Booking Management'!$K$4:$K$200,B4)</f>
        <v>3</v>
      </c>
      <c r="F4" s="89" t="n">
        <f aca="false">SUMIFS('Booking Management'!$E$4:$E$200,'Booking Management'!$K$4:$K$200,B4)</f>
        <v>59010000</v>
      </c>
      <c r="G4" s="90" t="n">
        <f aca="false">IFERROR(E4/C4,0)</f>
        <v>0.333333333333333</v>
      </c>
      <c r="H4" s="89" t="n">
        <f aca="false">IFERROR(F4/E4,0)</f>
        <v>19670000</v>
      </c>
      <c r="I4" s="91" t="str">
        <f aca="false">IF(G4&gt;=0.25,"🥇 Platinum",IF(G4&gt;=0.15,"🥈 Gold",IF(G4&gt;=0.08,"🥉 Silver","Bronze")))</f>
        <v>🥇 Platinum</v>
      </c>
    </row>
    <row r="5" customFormat="false" ht="15" hidden="false" customHeight="true" outlineLevel="0" collapsed="false">
      <c r="A5" s="92" t="n">
        <f aca="false">IFERROR(RANK(F5,F$4:F$11,0),"-")</f>
        <v>4</v>
      </c>
      <c r="B5" s="93" t="s">
        <v>240</v>
      </c>
      <c r="C5" s="88" t="n">
        <f aca="false">COUNTIFS('Lead Management'!$P$4:$P$503,B5)</f>
        <v>6</v>
      </c>
      <c r="D5" s="88" t="n">
        <f aca="false">COUNTIFS('Lead Management'!$P$4:$P$503,B5,'Lead Management'!$K$4:$K$503,"Site Visit Completed")+COUNTIFS('Lead Management'!$P$4:$P$503,B5,'Lead Management'!$K$4:$K$503,"Booked")</f>
        <v>4</v>
      </c>
      <c r="E5" s="88" t="n">
        <f aca="false">COUNTIFS('Booking Management'!$K$4:$K$200,B5)</f>
        <v>2</v>
      </c>
      <c r="F5" s="94" t="n">
        <f aca="false">SUMIFS('Booking Management'!$E$4:$E$200,'Booking Management'!$K$4:$K$200,B5)</f>
        <v>27700000</v>
      </c>
      <c r="G5" s="95" t="n">
        <f aca="false">IFERROR(E5/C5,0)</f>
        <v>0.333333333333333</v>
      </c>
      <c r="H5" s="94" t="n">
        <f aca="false">IFERROR(F5/E5,0)</f>
        <v>13850000</v>
      </c>
      <c r="I5" s="96" t="str">
        <f aca="false">IF(G5&gt;=0.25,"🥇 Platinum",IF(G5&gt;=0.15,"🥈 Gold",IF(G5&gt;=0.08,"🥉 Silver","Bronze")))</f>
        <v>🥇 Platinum</v>
      </c>
    </row>
    <row r="6" customFormat="false" ht="15" hidden="false" customHeight="true" outlineLevel="0" collapsed="false">
      <c r="A6" s="85" t="n">
        <f aca="false">IFERROR(RANK(F6,F$4:F$11,0),"-")</f>
        <v>6</v>
      </c>
      <c r="B6" s="86" t="s">
        <v>132</v>
      </c>
      <c r="C6" s="87" t="n">
        <f aca="false">COUNTIFS('Lead Management'!$P$4:$P$503,B6)</f>
        <v>10</v>
      </c>
      <c r="D6" s="87" t="n">
        <f aca="false">COUNTIFS('Lead Management'!$P$4:$P$503,B6,'Lead Management'!$K$4:$K$503,"Site Visit Completed")+COUNTIFS('Lead Management'!$P$4:$P$503,B6,'Lead Management'!$K$4:$K$503,"Booked")</f>
        <v>3</v>
      </c>
      <c r="E6" s="87" t="n">
        <f aca="false">COUNTIFS('Booking Management'!$K$4:$K$200,B6)</f>
        <v>2</v>
      </c>
      <c r="F6" s="89" t="n">
        <f aca="false">SUMIFS('Booking Management'!$E$4:$E$200,'Booking Management'!$K$4:$K$200,B6)</f>
        <v>19750000</v>
      </c>
      <c r="G6" s="90" t="n">
        <f aca="false">IFERROR(E6/C6,0)</f>
        <v>0.2</v>
      </c>
      <c r="H6" s="89" t="n">
        <f aca="false">IFERROR(F6/E6,0)</f>
        <v>9875000</v>
      </c>
      <c r="I6" s="91" t="str">
        <f aca="false">IF(G6&gt;=0.25,"🥇 Platinum",IF(G6&gt;=0.15,"🥈 Gold",IF(G6&gt;=0.08,"🥉 Silver","Bronze")))</f>
        <v>🥈 Gold</v>
      </c>
    </row>
    <row r="7" customFormat="false" ht="15" hidden="false" customHeight="true" outlineLevel="0" collapsed="false">
      <c r="A7" s="92" t="n">
        <f aca="false">IFERROR(RANK(F7,F$4:F$11,0),"-")</f>
        <v>8</v>
      </c>
      <c r="B7" s="93" t="s">
        <v>179</v>
      </c>
      <c r="C7" s="88" t="n">
        <f aca="false">COUNTIFS('Lead Management'!$P$4:$P$503,B7)</f>
        <v>6</v>
      </c>
      <c r="D7" s="88" t="n">
        <f aca="false">COUNTIFS('Lead Management'!$P$4:$P$503,B7,'Lead Management'!$K$4:$K$503,"Site Visit Completed")+COUNTIFS('Lead Management'!$P$4:$P$503,B7,'Lead Management'!$K$4:$K$503,"Booked")</f>
        <v>0</v>
      </c>
      <c r="E7" s="88" t="n">
        <f aca="false">COUNTIFS('Booking Management'!$K$4:$K$200,B7)</f>
        <v>0</v>
      </c>
      <c r="F7" s="94" t="n">
        <f aca="false">SUMIFS('Booking Management'!$E$4:$E$200,'Booking Management'!$K$4:$K$200,B7)</f>
        <v>0</v>
      </c>
      <c r="G7" s="95" t="n">
        <f aca="false">IFERROR(E7/C7,0)</f>
        <v>0</v>
      </c>
      <c r="H7" s="94" t="n">
        <f aca="false">IFERROR(F7/E7,0)</f>
        <v>0</v>
      </c>
      <c r="I7" s="96" t="str">
        <f aca="false">IF(G7&gt;=0.25,"🥇 Platinum",IF(G7&gt;=0.15,"🥈 Gold",IF(G7&gt;=0.08,"🥉 Silver","Bronze")))</f>
        <v>Bronze</v>
      </c>
    </row>
    <row r="8" customFormat="false" ht="15" hidden="false" customHeight="true" outlineLevel="0" collapsed="false">
      <c r="A8" s="85" t="n">
        <f aca="false">IFERROR(RANK(F8,F$4:F$11,0),"-")</f>
        <v>3</v>
      </c>
      <c r="B8" s="86" t="s">
        <v>210</v>
      </c>
      <c r="C8" s="87" t="n">
        <f aca="false">COUNTIFS('Lead Management'!$P$4:$P$503,B8)</f>
        <v>9</v>
      </c>
      <c r="D8" s="87" t="n">
        <f aca="false">COUNTIFS('Lead Management'!$P$4:$P$503,B8,'Lead Management'!$K$4:$K$503,"Site Visit Completed")+COUNTIFS('Lead Management'!$P$4:$P$503,B8,'Lead Management'!$K$4:$K$503,"Booked")</f>
        <v>5</v>
      </c>
      <c r="E8" s="87" t="n">
        <f aca="false">COUNTIFS('Booking Management'!$K$4:$K$200,B8)</f>
        <v>2</v>
      </c>
      <c r="F8" s="89" t="n">
        <f aca="false">SUMIFS('Booking Management'!$E$4:$E$200,'Booking Management'!$K$4:$K$200,B8)</f>
        <v>28300000</v>
      </c>
      <c r="G8" s="90" t="n">
        <f aca="false">IFERROR(E8/C8,0)</f>
        <v>0.222222222222222</v>
      </c>
      <c r="H8" s="89" t="n">
        <f aca="false">IFERROR(F8/E8,0)</f>
        <v>14150000</v>
      </c>
      <c r="I8" s="91" t="str">
        <f aca="false">IF(G8&gt;=0.25,"🥇 Platinum",IF(G8&gt;=0.15,"🥈 Gold",IF(G8&gt;=0.08,"🥉 Silver","Bronze")))</f>
        <v>🥈 Gold</v>
      </c>
    </row>
    <row r="9" customFormat="false" ht="15" hidden="false" customHeight="true" outlineLevel="0" collapsed="false">
      <c r="A9" s="92" t="n">
        <f aca="false">IFERROR(RANK(F9,F$4:F$11,0),"-")</f>
        <v>5</v>
      </c>
      <c r="B9" s="93" t="s">
        <v>448</v>
      </c>
      <c r="C9" s="88" t="n">
        <f aca="false">COUNTIFS('Lead Management'!$P$4:$P$503,B9)</f>
        <v>3</v>
      </c>
      <c r="D9" s="88" t="n">
        <f aca="false">COUNTIFS('Lead Management'!$P$4:$P$503,B9,'Lead Management'!$K$4:$K$503,"Site Visit Completed")+COUNTIFS('Lead Management'!$P$4:$P$503,B9,'Lead Management'!$K$4:$K$503,"Booked")</f>
        <v>2</v>
      </c>
      <c r="E9" s="88" t="n">
        <f aca="false">COUNTIFS('Booking Management'!$K$4:$K$200,B9)</f>
        <v>2</v>
      </c>
      <c r="F9" s="94" t="n">
        <f aca="false">SUMIFS('Booking Management'!$E$4:$E$200,'Booking Management'!$K$4:$K$200,B9)</f>
        <v>23300000</v>
      </c>
      <c r="G9" s="95" t="n">
        <f aca="false">IFERROR(E9/C9,0)</f>
        <v>0.666666666666667</v>
      </c>
      <c r="H9" s="94" t="n">
        <f aca="false">IFERROR(F9/E9,0)</f>
        <v>11650000</v>
      </c>
      <c r="I9" s="96" t="str">
        <f aca="false">IF(G9&gt;=0.25,"🥇 Platinum",IF(G9&gt;=0.15,"🥈 Gold",IF(G9&gt;=0.08,"🥉 Silver","Bronze")))</f>
        <v>🥇 Platinum</v>
      </c>
    </row>
    <row r="10" customFormat="false" ht="15" hidden="false" customHeight="true" outlineLevel="0" collapsed="false">
      <c r="A10" s="85" t="n">
        <f aca="false">IFERROR(RANK(F10,F$4:F$11,0),"-")</f>
        <v>1</v>
      </c>
      <c r="B10" s="86" t="s">
        <v>187</v>
      </c>
      <c r="C10" s="87" t="n">
        <f aca="false">COUNTIFS('Lead Management'!$P$4:$P$503,B10)</f>
        <v>12</v>
      </c>
      <c r="D10" s="87" t="n">
        <f aca="false">COUNTIFS('Lead Management'!$P$4:$P$503,B10,'Lead Management'!$K$4:$K$503,"Site Visit Completed")+COUNTIFS('Lead Management'!$P$4:$P$503,B10,'Lead Management'!$K$4:$K$503,"Booked")</f>
        <v>5</v>
      </c>
      <c r="E10" s="87" t="n">
        <f aca="false">COUNTIFS('Booking Management'!$K$4:$K$200,B10)</f>
        <v>4</v>
      </c>
      <c r="F10" s="89" t="n">
        <f aca="false">SUMIFS('Booking Management'!$E$4:$E$200,'Booking Management'!$K$4:$K$200,B10)</f>
        <v>73920000</v>
      </c>
      <c r="G10" s="90" t="n">
        <f aca="false">IFERROR(E10/C10,0)</f>
        <v>0.333333333333333</v>
      </c>
      <c r="H10" s="89" t="n">
        <f aca="false">IFERROR(F10/E10,0)</f>
        <v>18480000</v>
      </c>
      <c r="I10" s="91" t="str">
        <f aca="false">IF(G10&gt;=0.25,"🥇 Platinum",IF(G10&gt;=0.15,"🥈 Gold",IF(G10&gt;=0.08,"🥉 Silver","Bronze")))</f>
        <v>🥇 Platinum</v>
      </c>
    </row>
    <row r="11" customFormat="false" ht="15" hidden="false" customHeight="true" outlineLevel="0" collapsed="false">
      <c r="A11" s="92" t="n">
        <f aca="false">IFERROR(RANK(F11,F$4:F$11,0),"-")</f>
        <v>7</v>
      </c>
      <c r="B11" s="93" t="s">
        <v>301</v>
      </c>
      <c r="C11" s="88" t="n">
        <f aca="false">COUNTIFS('Lead Management'!$P$4:$P$503,B11)</f>
        <v>11</v>
      </c>
      <c r="D11" s="88" t="n">
        <f aca="false">COUNTIFS('Lead Management'!$P$4:$P$503,B11,'Lead Management'!$K$4:$K$503,"Site Visit Completed")+COUNTIFS('Lead Management'!$P$4:$P$503,B11,'Lead Management'!$K$4:$K$503,"Booked")</f>
        <v>2</v>
      </c>
      <c r="E11" s="88" t="n">
        <f aca="false">COUNTIFS('Booking Management'!$K$4:$K$200,B11)</f>
        <v>1</v>
      </c>
      <c r="F11" s="94" t="n">
        <f aca="false">SUMIFS('Booking Management'!$E$4:$E$200,'Booking Management'!$K$4:$K$200,B11)</f>
        <v>10320000</v>
      </c>
      <c r="G11" s="95" t="n">
        <f aca="false">IFERROR(E11/C11,0)</f>
        <v>0.0909090909090909</v>
      </c>
      <c r="H11" s="94" t="n">
        <f aca="false">IFERROR(F11/E11,0)</f>
        <v>10320000</v>
      </c>
      <c r="I11" s="96" t="str">
        <f aca="false">IF(G11&gt;=0.25,"🥇 Platinum",IF(G11&gt;=0.15,"🥈 Gold",IF(G11&gt;=0.08,"🥉 Silver","Bronze")))</f>
        <v>🥉 Silver</v>
      </c>
    </row>
  </sheetData>
  <mergeCells count="2">
    <mergeCell ref="A1:I1"/>
    <mergeCell ref="A2:I2"/>
  </mergeCells>
  <conditionalFormatting sqref="F4:F11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1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4" min="3" style="1" width="20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8" min="8" style="1" width="28"/>
  </cols>
  <sheetData>
    <row r="1" customFormat="false" ht="31.5" hidden="false" customHeight="true" outlineLevel="0" collapsed="false">
      <c r="A1" s="68" t="s">
        <v>2011</v>
      </c>
      <c r="B1" s="68"/>
      <c r="C1" s="68"/>
      <c r="D1" s="68"/>
      <c r="E1" s="68"/>
      <c r="F1" s="68"/>
      <c r="G1" s="68"/>
      <c r="H1" s="68"/>
    </row>
    <row r="2" customFormat="false" ht="18" hidden="false" customHeight="true" outlineLevel="0" collapsed="false">
      <c r="A2" s="4" t="s">
        <v>2012</v>
      </c>
      <c r="B2" s="4"/>
      <c r="C2" s="4"/>
      <c r="D2" s="4"/>
      <c r="E2" s="4"/>
      <c r="F2" s="4"/>
      <c r="G2" s="4"/>
      <c r="H2" s="4"/>
    </row>
    <row r="3" customFormat="false" ht="19.5" hidden="false" customHeight="true" outlineLevel="0" collapsed="false">
      <c r="A3" s="69" t="s">
        <v>70</v>
      </c>
      <c r="B3" s="69" t="s">
        <v>72</v>
      </c>
      <c r="C3" s="69" t="s">
        <v>1580</v>
      </c>
      <c r="D3" s="69" t="s">
        <v>2013</v>
      </c>
      <c r="E3" s="69" t="s">
        <v>81</v>
      </c>
      <c r="F3" s="69" t="s">
        <v>82</v>
      </c>
      <c r="G3" s="69" t="s">
        <v>2014</v>
      </c>
      <c r="H3" s="69" t="s">
        <v>2015</v>
      </c>
    </row>
    <row r="4" customFormat="false" ht="15" hidden="false" customHeight="true" outlineLevel="0" collapsed="false">
      <c r="A4" s="70" t="s">
        <v>295</v>
      </c>
      <c r="B4" s="72" t="s">
        <v>296</v>
      </c>
      <c r="C4" s="72" t="s">
        <v>209</v>
      </c>
      <c r="D4" s="70" t="s">
        <v>120</v>
      </c>
      <c r="E4" s="71" t="n">
        <v>45717</v>
      </c>
      <c r="F4" s="71" t="n">
        <v>46183</v>
      </c>
      <c r="G4" s="88" t="n">
        <f aca="true">IFERROR(TODAY()-F4,0)</f>
        <v>18</v>
      </c>
      <c r="H4" s="110" t="str">
        <f aca="false">IF(G4&gt;7,"🔴 CRITICAL — Call Immediately",IF(G4&gt;0,"🟠 OVERDUE — Call Today",IF(G4=0,"🟡 DUE TODAY — Schedule Now",IF(G4&gt;-3,"🔵 Due This Week","🟢 Upcoming — On Track"))))</f>
        <v>🔴 CRITICAL — Call Immediately</v>
      </c>
    </row>
    <row r="5" customFormat="false" ht="15" hidden="false" customHeight="true" outlineLevel="0" collapsed="false">
      <c r="A5" s="75" t="s">
        <v>425</v>
      </c>
      <c r="B5" s="77" t="s">
        <v>426</v>
      </c>
      <c r="C5" s="77" t="s">
        <v>170</v>
      </c>
      <c r="D5" s="75" t="s">
        <v>120</v>
      </c>
      <c r="E5" s="76" t="n">
        <v>45398</v>
      </c>
      <c r="F5" s="76" t="n">
        <v>46183</v>
      </c>
      <c r="G5" s="87" t="n">
        <f aca="true">IFERROR(TODAY()-F5,0)</f>
        <v>18</v>
      </c>
      <c r="H5" s="112" t="str">
        <f aca="false">IF(G5&gt;7,"🔴 CRITICAL — Call Immediately",IF(G5&gt;0,"🟠 OVERDUE — Call Today",IF(G5=0,"🟡 DUE TODAY — Schedule Now",IF(G5&gt;-3,"🔵 Due This Week","🟢 Upcoming — On Track"))))</f>
        <v>🔴 CRITICAL — Call Immediately</v>
      </c>
    </row>
    <row r="6" customFormat="false" ht="15" hidden="false" customHeight="true" outlineLevel="0" collapsed="false">
      <c r="A6" s="70" t="s">
        <v>1218</v>
      </c>
      <c r="B6" s="72" t="s">
        <v>1219</v>
      </c>
      <c r="C6" s="72" t="s">
        <v>93</v>
      </c>
      <c r="D6" s="70" t="s">
        <v>120</v>
      </c>
      <c r="E6" s="71" t="n">
        <v>45722</v>
      </c>
      <c r="F6" s="71" t="n">
        <v>46183</v>
      </c>
      <c r="G6" s="88" t="n">
        <f aca="true">IFERROR(TODAY()-F6,0)</f>
        <v>18</v>
      </c>
      <c r="H6" s="110" t="str">
        <f aca="false">IF(G6&gt;7,"🔴 CRITICAL — Call Immediately",IF(G6&gt;0,"🟠 OVERDUE — Call Today",IF(G6=0,"🟡 DUE TODAY — Schedule Now",IF(G6&gt;-3,"🔵 Due This Week","🟢 Upcoming — On Track"))))</f>
        <v>🔴 CRITICAL — Call Immediately</v>
      </c>
    </row>
    <row r="7" customFormat="false" ht="15" hidden="false" customHeight="true" outlineLevel="0" collapsed="false">
      <c r="A7" s="75" t="s">
        <v>1514</v>
      </c>
      <c r="B7" s="77" t="s">
        <v>1515</v>
      </c>
      <c r="C7" s="77" t="s">
        <v>112</v>
      </c>
      <c r="D7" s="75" t="s">
        <v>120</v>
      </c>
      <c r="E7" s="76" t="n">
        <v>45524</v>
      </c>
      <c r="F7" s="76" t="n">
        <v>46183</v>
      </c>
      <c r="G7" s="87" t="n">
        <f aca="true">IFERROR(TODAY()-F7,0)</f>
        <v>18</v>
      </c>
      <c r="H7" s="112" t="str">
        <f aca="false">IF(G7&gt;7,"🔴 CRITICAL — Call Immediately",IF(G7&gt;0,"🟠 OVERDUE — Call Today",IF(G7=0,"🟡 DUE TODAY — Schedule Now",IF(G7&gt;-3,"🔵 Due This Week","🟢 Upcoming — On Track"))))</f>
        <v>🔴 CRITICAL — Call Immediately</v>
      </c>
    </row>
    <row r="8" customFormat="false" ht="15" hidden="false" customHeight="true" outlineLevel="0" collapsed="false">
      <c r="A8" s="70" t="s">
        <v>343</v>
      </c>
      <c r="B8" s="72" t="s">
        <v>344</v>
      </c>
      <c r="C8" s="72" t="s">
        <v>112</v>
      </c>
      <c r="D8" s="70" t="s">
        <v>120</v>
      </c>
      <c r="E8" s="71" t="n">
        <v>45505</v>
      </c>
      <c r="F8" s="71" t="n">
        <v>46184</v>
      </c>
      <c r="G8" s="88" t="n">
        <f aca="true">IFERROR(TODAY()-F8,0)</f>
        <v>17</v>
      </c>
      <c r="H8" s="110" t="str">
        <f aca="false">IF(G8&gt;7,"🔴 CRITICAL — Call Immediately",IF(G8&gt;0,"🟠 OVERDUE — Call Today",IF(G8=0,"🟡 DUE TODAY — Schedule Now",IF(G8&gt;-3,"🔵 Due This Week","🟢 Upcoming — On Track"))))</f>
        <v>🔴 CRITICAL — Call Immediately</v>
      </c>
    </row>
    <row r="9" customFormat="false" ht="15" hidden="false" customHeight="true" outlineLevel="0" collapsed="false">
      <c r="A9" s="75" t="s">
        <v>419</v>
      </c>
      <c r="B9" s="77" t="s">
        <v>420</v>
      </c>
      <c r="C9" s="77" t="s">
        <v>142</v>
      </c>
      <c r="D9" s="75" t="s">
        <v>120</v>
      </c>
      <c r="E9" s="76" t="n">
        <v>45496</v>
      </c>
      <c r="F9" s="76" t="n">
        <v>46184</v>
      </c>
      <c r="G9" s="87" t="n">
        <f aca="true">IFERROR(TODAY()-F9,0)</f>
        <v>17</v>
      </c>
      <c r="H9" s="112" t="str">
        <f aca="false">IF(G9&gt;7,"🔴 CRITICAL — Call Immediately",IF(G9&gt;0,"🟠 OVERDUE — Call Today",IF(G9=0,"🟡 DUE TODAY — Schedule Now",IF(G9&gt;-3,"🔵 Due This Week","🟢 Upcoming — On Track"))))</f>
        <v>🔴 CRITICAL — Call Immediately</v>
      </c>
    </row>
    <row r="10" customFormat="false" ht="15" hidden="false" customHeight="true" outlineLevel="0" collapsed="false">
      <c r="A10" s="70" t="s">
        <v>679</v>
      </c>
      <c r="B10" s="72" t="s">
        <v>680</v>
      </c>
      <c r="C10" s="72" t="s">
        <v>148</v>
      </c>
      <c r="D10" s="70" t="s">
        <v>120</v>
      </c>
      <c r="E10" s="71" t="n">
        <v>45622</v>
      </c>
      <c r="F10" s="71" t="n">
        <v>46184</v>
      </c>
      <c r="G10" s="88" t="n">
        <f aca="true">IFERROR(TODAY()-F10,0)</f>
        <v>17</v>
      </c>
      <c r="H10" s="110" t="str">
        <f aca="false">IF(G10&gt;7,"🔴 CRITICAL — Call Immediately",IF(G10&gt;0,"🟠 OVERDUE — Call Today",IF(G10=0,"🟡 DUE TODAY — Schedule Now",IF(G10&gt;-3,"🔵 Due This Week","🟢 Upcoming — On Track"))))</f>
        <v>🔴 CRITICAL — Call Immediately</v>
      </c>
    </row>
    <row r="11" customFormat="false" ht="15" hidden="false" customHeight="true" outlineLevel="0" collapsed="false">
      <c r="A11" s="75" t="s">
        <v>691</v>
      </c>
      <c r="B11" s="77" t="s">
        <v>692</v>
      </c>
      <c r="C11" s="77" t="s">
        <v>93</v>
      </c>
      <c r="D11" s="75" t="s">
        <v>120</v>
      </c>
      <c r="E11" s="76" t="n">
        <v>45725</v>
      </c>
      <c r="F11" s="76" t="n">
        <v>46184</v>
      </c>
      <c r="G11" s="87" t="n">
        <f aca="true">IFERROR(TODAY()-F11,0)</f>
        <v>17</v>
      </c>
      <c r="H11" s="112" t="str">
        <f aca="false">IF(G11&gt;7,"🔴 CRITICAL — Call Immediately",IF(G11&gt;0,"🟠 OVERDUE — Call Today",IF(G11=0,"🟡 DUE TODAY — Schedule Now",IF(G11&gt;-3,"🔵 Due This Week","🟢 Upcoming — On Track"))))</f>
        <v>🔴 CRITICAL — Call Immediately</v>
      </c>
    </row>
    <row r="12" customFormat="false" ht="15" hidden="false" customHeight="true" outlineLevel="0" collapsed="false">
      <c r="A12" s="70" t="s">
        <v>941</v>
      </c>
      <c r="B12" s="72" t="s">
        <v>942</v>
      </c>
      <c r="C12" s="72" t="s">
        <v>93</v>
      </c>
      <c r="D12" s="70" t="s">
        <v>120</v>
      </c>
      <c r="E12" s="71" t="n">
        <v>45693</v>
      </c>
      <c r="F12" s="71" t="n">
        <v>46184</v>
      </c>
      <c r="G12" s="88" t="n">
        <f aca="true">IFERROR(TODAY()-F12,0)</f>
        <v>17</v>
      </c>
      <c r="H12" s="110" t="str">
        <f aca="false">IF(G12&gt;7,"🔴 CRITICAL — Call Immediately",IF(G12&gt;0,"🟠 OVERDUE — Call Today",IF(G12=0,"🟡 DUE TODAY — Schedule Now",IF(G12&gt;-3,"🔵 Due This Week","🟢 Upcoming — On Track"))))</f>
        <v>🔴 CRITICAL — Call Immediately</v>
      </c>
    </row>
    <row r="13" customFormat="false" ht="15" hidden="false" customHeight="true" outlineLevel="0" collapsed="false">
      <c r="A13" s="75" t="s">
        <v>510</v>
      </c>
      <c r="B13" s="77" t="s">
        <v>511</v>
      </c>
      <c r="C13" s="77" t="s">
        <v>170</v>
      </c>
      <c r="D13" s="75" t="s">
        <v>120</v>
      </c>
      <c r="E13" s="76" t="n">
        <v>45439</v>
      </c>
      <c r="F13" s="76" t="n">
        <v>46185</v>
      </c>
      <c r="G13" s="87" t="n">
        <f aca="true">IFERROR(TODAY()-F13,0)</f>
        <v>16</v>
      </c>
      <c r="H13" s="112" t="str">
        <f aca="false">IF(G13&gt;7,"🔴 CRITICAL — Call Immediately",IF(G13&gt;0,"🟠 OVERDUE — Call Today",IF(G13=0,"🟡 DUE TODAY — Schedule Now",IF(G13&gt;-3,"🔵 Due This Week","🟢 Upcoming — On Track"))))</f>
        <v>🔴 CRITICAL — Call Immediately</v>
      </c>
    </row>
    <row r="14" customFormat="false" ht="15" hidden="false" customHeight="true" outlineLevel="0" collapsed="false">
      <c r="A14" s="70" t="s">
        <v>910</v>
      </c>
      <c r="B14" s="72" t="s">
        <v>911</v>
      </c>
      <c r="C14" s="72" t="s">
        <v>93</v>
      </c>
      <c r="D14" s="70" t="s">
        <v>120</v>
      </c>
      <c r="E14" s="71" t="n">
        <v>45543</v>
      </c>
      <c r="F14" s="71" t="n">
        <v>46185</v>
      </c>
      <c r="G14" s="88" t="n">
        <f aca="true">IFERROR(TODAY()-F14,0)</f>
        <v>16</v>
      </c>
      <c r="H14" s="110" t="str">
        <f aca="false">IF(G14&gt;7,"🔴 CRITICAL — Call Immediately",IF(G14&gt;0,"🟠 OVERDUE — Call Today",IF(G14=0,"🟡 DUE TODAY — Schedule Now",IF(G14&gt;-3,"🔵 Due This Week","🟢 Upcoming — On Track"))))</f>
        <v>🔴 CRITICAL — Call Immediately</v>
      </c>
    </row>
    <row r="15" customFormat="false" ht="15" hidden="false" customHeight="true" outlineLevel="0" collapsed="false">
      <c r="A15" s="75" t="s">
        <v>1155</v>
      </c>
      <c r="B15" s="77" t="s">
        <v>662</v>
      </c>
      <c r="C15" s="77" t="s">
        <v>103</v>
      </c>
      <c r="D15" s="75" t="s">
        <v>120</v>
      </c>
      <c r="E15" s="76" t="n">
        <v>45700</v>
      </c>
      <c r="F15" s="76" t="n">
        <v>46185</v>
      </c>
      <c r="G15" s="87" t="n">
        <f aca="true">IFERROR(TODAY()-F15,0)</f>
        <v>16</v>
      </c>
      <c r="H15" s="112" t="str">
        <f aca="false">IF(G15&gt;7,"🔴 CRITICAL — Call Immediately",IF(G15&gt;0,"🟠 OVERDUE — Call Today",IF(G15=0,"🟡 DUE TODAY — Schedule Now",IF(G15&gt;-3,"🔵 Due This Week","🟢 Upcoming — On Track"))))</f>
        <v>🔴 CRITICAL — Call Immediately</v>
      </c>
    </row>
    <row r="16" customFormat="false" ht="15" hidden="false" customHeight="true" outlineLevel="0" collapsed="false">
      <c r="A16" s="70" t="s">
        <v>1306</v>
      </c>
      <c r="B16" s="72" t="s">
        <v>1307</v>
      </c>
      <c r="C16" s="72" t="s">
        <v>170</v>
      </c>
      <c r="D16" s="70" t="s">
        <v>120</v>
      </c>
      <c r="E16" s="71" t="n">
        <v>45471</v>
      </c>
      <c r="F16" s="71" t="n">
        <v>46185</v>
      </c>
      <c r="G16" s="88" t="n">
        <f aca="true">IFERROR(TODAY()-F16,0)</f>
        <v>16</v>
      </c>
      <c r="H16" s="110" t="str">
        <f aca="false">IF(G16&gt;7,"🔴 CRITICAL — Call Immediately",IF(G16&gt;0,"🟠 OVERDUE — Call Today",IF(G16=0,"🟡 DUE TODAY — Schedule Now",IF(G16&gt;-3,"🔵 Due This Week","🟢 Upcoming — On Track"))))</f>
        <v>🔴 CRITICAL — Call Immediately</v>
      </c>
    </row>
    <row r="17" customFormat="false" ht="15" hidden="false" customHeight="true" outlineLevel="0" collapsed="false">
      <c r="A17" s="75" t="s">
        <v>673</v>
      </c>
      <c r="B17" s="77" t="s">
        <v>674</v>
      </c>
      <c r="C17" s="77" t="s">
        <v>209</v>
      </c>
      <c r="D17" s="75" t="s">
        <v>120</v>
      </c>
      <c r="E17" s="76" t="n">
        <v>45672</v>
      </c>
      <c r="F17" s="76" t="n">
        <v>46186</v>
      </c>
      <c r="G17" s="87" t="n">
        <f aca="true">IFERROR(TODAY()-F17,0)</f>
        <v>15</v>
      </c>
      <c r="H17" s="112" t="str">
        <f aca="false">IF(G17&gt;7,"🔴 CRITICAL — Call Immediately",IF(G17&gt;0,"🟠 OVERDUE — Call Today",IF(G17=0,"🟡 DUE TODAY — Schedule Now",IF(G17&gt;-3,"🔵 Due This Week","🟢 Upcoming — On Track"))))</f>
        <v>🔴 CRITICAL — Call Immediately</v>
      </c>
    </row>
    <row r="18" customFormat="false" ht="15" hidden="false" customHeight="true" outlineLevel="0" collapsed="false">
      <c r="A18" s="70" t="s">
        <v>236</v>
      </c>
      <c r="B18" s="72" t="s">
        <v>237</v>
      </c>
      <c r="C18" s="72" t="s">
        <v>103</v>
      </c>
      <c r="D18" s="70" t="s">
        <v>143</v>
      </c>
      <c r="E18" s="71" t="n">
        <v>45660</v>
      </c>
      <c r="F18" s="71" t="n">
        <v>46187</v>
      </c>
      <c r="G18" s="88" t="n">
        <f aca="true">IFERROR(TODAY()-F18,0)</f>
        <v>14</v>
      </c>
      <c r="H18" s="110" t="str">
        <f aca="false">IF(G18&gt;7,"🔴 CRITICAL — Call Immediately",IF(G18&gt;0,"🟠 OVERDUE — Call Today",IF(G18=0,"🟡 DUE TODAY — Schedule Now",IF(G18&gt;-3,"🔵 Due This Week","🟢 Upcoming — On Track"))))</f>
        <v>🔴 CRITICAL — Call Immediately</v>
      </c>
    </row>
    <row r="19" customFormat="false" ht="15" hidden="false" customHeight="true" outlineLevel="0" collapsed="false">
      <c r="A19" s="75" t="s">
        <v>250</v>
      </c>
      <c r="B19" s="77" t="s">
        <v>251</v>
      </c>
      <c r="C19" s="77" t="s">
        <v>148</v>
      </c>
      <c r="D19" s="75" t="s">
        <v>161</v>
      </c>
      <c r="E19" s="76" t="n">
        <v>45595</v>
      </c>
      <c r="F19" s="76" t="n">
        <v>46187</v>
      </c>
      <c r="G19" s="87" t="n">
        <f aca="true">IFERROR(TODAY()-F19,0)</f>
        <v>14</v>
      </c>
      <c r="H19" s="112" t="str">
        <f aca="false">IF(G19&gt;7,"🔴 CRITICAL — Call Immediately",IF(G19&gt;0,"🟠 OVERDUE — Call Today",IF(G19=0,"🟡 DUE TODAY — Schedule Now",IF(G19&gt;-3,"🔵 Due This Week","🟢 Upcoming — On Track"))))</f>
        <v>🔴 CRITICAL — Call Immediately</v>
      </c>
    </row>
    <row r="20" customFormat="false" ht="15" hidden="false" customHeight="true" outlineLevel="0" collapsed="false">
      <c r="A20" s="70" t="s">
        <v>283</v>
      </c>
      <c r="B20" s="72" t="s">
        <v>284</v>
      </c>
      <c r="C20" s="72" t="s">
        <v>191</v>
      </c>
      <c r="D20" s="70" t="s">
        <v>104</v>
      </c>
      <c r="E20" s="71" t="n">
        <v>45428</v>
      </c>
      <c r="F20" s="71" t="n">
        <v>46187</v>
      </c>
      <c r="G20" s="88" t="n">
        <f aca="true">IFERROR(TODAY()-F20,0)</f>
        <v>14</v>
      </c>
      <c r="H20" s="110" t="str">
        <f aca="false">IF(G20&gt;7,"🔴 CRITICAL — Call Immediately",IF(G20&gt;0,"🟠 OVERDUE — Call Today",IF(G20=0,"🟡 DUE TODAY — Schedule Now",IF(G20&gt;-3,"🔵 Due This Week","🟢 Upcoming — On Track"))))</f>
        <v>🔴 CRITICAL — Call Immediately</v>
      </c>
    </row>
    <row r="21" customFormat="false" ht="15" hidden="false" customHeight="true" outlineLevel="0" collapsed="false">
      <c r="A21" s="75" t="s">
        <v>647</v>
      </c>
      <c r="B21" s="77" t="s">
        <v>648</v>
      </c>
      <c r="C21" s="77" t="s">
        <v>209</v>
      </c>
      <c r="D21" s="75" t="s">
        <v>94</v>
      </c>
      <c r="E21" s="76" t="n">
        <v>45436</v>
      </c>
      <c r="F21" s="76" t="n">
        <v>46187</v>
      </c>
      <c r="G21" s="87" t="n">
        <f aca="true">IFERROR(TODAY()-F21,0)</f>
        <v>14</v>
      </c>
      <c r="H21" s="112" t="str">
        <f aca="false">IF(G21&gt;7,"🔴 CRITICAL — Call Immediately",IF(G21&gt;0,"🟠 OVERDUE — Call Today",IF(G21=0,"🟡 DUE TODAY — Schedule Now",IF(G21&gt;-3,"🔵 Due This Week","🟢 Upcoming — On Track"))))</f>
        <v>🔴 CRITICAL — Call Immediately</v>
      </c>
    </row>
    <row r="22" customFormat="false" ht="15" hidden="false" customHeight="true" outlineLevel="0" collapsed="false">
      <c r="A22" s="70" t="s">
        <v>792</v>
      </c>
      <c r="B22" s="72" t="s">
        <v>793</v>
      </c>
      <c r="C22" s="72" t="s">
        <v>142</v>
      </c>
      <c r="D22" s="70" t="s">
        <v>120</v>
      </c>
      <c r="E22" s="71" t="n">
        <v>45617</v>
      </c>
      <c r="F22" s="71" t="n">
        <v>46187</v>
      </c>
      <c r="G22" s="88" t="n">
        <f aca="true">IFERROR(TODAY()-F22,0)</f>
        <v>14</v>
      </c>
      <c r="H22" s="110" t="str">
        <f aca="false">IF(G22&gt;7,"🔴 CRITICAL — Call Immediately",IF(G22&gt;0,"🟠 OVERDUE — Call Today",IF(G22=0,"🟡 DUE TODAY — Schedule Now",IF(G22&gt;-3,"🔵 Due This Week","🟢 Upcoming — On Track"))))</f>
        <v>🔴 CRITICAL — Call Immediately</v>
      </c>
    </row>
    <row r="23" customFormat="false" ht="15" hidden="false" customHeight="true" outlineLevel="0" collapsed="false">
      <c r="A23" s="75" t="s">
        <v>862</v>
      </c>
      <c r="B23" s="77" t="s">
        <v>863</v>
      </c>
      <c r="C23" s="77" t="s">
        <v>142</v>
      </c>
      <c r="D23" s="75" t="s">
        <v>94</v>
      </c>
      <c r="E23" s="76" t="n">
        <v>45424</v>
      </c>
      <c r="F23" s="76" t="n">
        <v>46187</v>
      </c>
      <c r="G23" s="87" t="n">
        <f aca="true">IFERROR(TODAY()-F23,0)</f>
        <v>14</v>
      </c>
      <c r="H23" s="112" t="str">
        <f aca="false">IF(G23&gt;7,"🔴 CRITICAL — Call Immediately",IF(G23&gt;0,"🟠 OVERDUE — Call Today",IF(G23=0,"🟡 DUE TODAY — Schedule Now",IF(G23&gt;-3,"🔵 Due This Week","🟢 Upcoming — On Track"))))</f>
        <v>🔴 CRITICAL — Call Immediately</v>
      </c>
    </row>
    <row r="24" customFormat="false" ht="15" hidden="false" customHeight="true" outlineLevel="0" collapsed="false">
      <c r="A24" s="70" t="s">
        <v>902</v>
      </c>
      <c r="B24" s="72" t="s">
        <v>903</v>
      </c>
      <c r="C24" s="72" t="s">
        <v>148</v>
      </c>
      <c r="D24" s="70" t="s">
        <v>120</v>
      </c>
      <c r="E24" s="71" t="n">
        <v>45455</v>
      </c>
      <c r="F24" s="71" t="n">
        <v>46187</v>
      </c>
      <c r="G24" s="88" t="n">
        <f aca="true">IFERROR(TODAY()-F24,0)</f>
        <v>14</v>
      </c>
      <c r="H24" s="110" t="str">
        <f aca="false">IF(G24&gt;7,"🔴 CRITICAL — Call Immediately",IF(G24&gt;0,"🟠 OVERDUE — Call Today",IF(G24=0,"🟡 DUE TODAY — Schedule Now",IF(G24&gt;-3,"🔵 Due This Week","🟢 Upcoming — On Track"))))</f>
        <v>🔴 CRITICAL — Call Immediately</v>
      </c>
    </row>
    <row r="25" customFormat="false" ht="15" hidden="false" customHeight="true" outlineLevel="0" collapsed="false">
      <c r="A25" s="75" t="s">
        <v>913</v>
      </c>
      <c r="B25" s="77" t="s">
        <v>914</v>
      </c>
      <c r="C25" s="77" t="s">
        <v>178</v>
      </c>
      <c r="D25" s="75" t="s">
        <v>94</v>
      </c>
      <c r="E25" s="76" t="n">
        <v>45518</v>
      </c>
      <c r="F25" s="76" t="n">
        <v>46187</v>
      </c>
      <c r="G25" s="87" t="n">
        <f aca="true">IFERROR(TODAY()-F25,0)</f>
        <v>14</v>
      </c>
      <c r="H25" s="112" t="str">
        <f aca="false">IF(G25&gt;7,"🔴 CRITICAL — Call Immediately",IF(G25&gt;0,"🟠 OVERDUE — Call Today",IF(G25=0,"🟡 DUE TODAY — Schedule Now",IF(G25&gt;-3,"🔵 Due This Week","🟢 Upcoming — On Track"))))</f>
        <v>🔴 CRITICAL — Call Immediately</v>
      </c>
    </row>
    <row r="26" customFormat="false" ht="15" hidden="false" customHeight="true" outlineLevel="0" collapsed="false">
      <c r="A26" s="70" t="s">
        <v>1151</v>
      </c>
      <c r="B26" s="72" t="s">
        <v>254</v>
      </c>
      <c r="C26" s="72" t="s">
        <v>191</v>
      </c>
      <c r="D26" s="70" t="s">
        <v>94</v>
      </c>
      <c r="E26" s="71" t="n">
        <v>45421</v>
      </c>
      <c r="F26" s="71" t="n">
        <v>46187</v>
      </c>
      <c r="G26" s="88" t="n">
        <f aca="true">IFERROR(TODAY()-F26,0)</f>
        <v>14</v>
      </c>
      <c r="H26" s="110" t="str">
        <f aca="false">IF(G26&gt;7,"🔴 CRITICAL — Call Immediately",IF(G26&gt;0,"🟠 OVERDUE — Call Today",IF(G26=0,"🟡 DUE TODAY — Schedule Now",IF(G26&gt;-3,"🔵 Due This Week","🟢 Upcoming — On Track"))))</f>
        <v>🔴 CRITICAL — Call Immediately</v>
      </c>
    </row>
    <row r="27" customFormat="false" ht="15" hidden="false" customHeight="true" outlineLevel="0" collapsed="false">
      <c r="A27" s="75" t="s">
        <v>1189</v>
      </c>
      <c r="B27" s="77" t="s">
        <v>576</v>
      </c>
      <c r="C27" s="77" t="s">
        <v>209</v>
      </c>
      <c r="D27" s="75" t="s">
        <v>120</v>
      </c>
      <c r="E27" s="76" t="n">
        <v>45634</v>
      </c>
      <c r="F27" s="76" t="n">
        <v>46187</v>
      </c>
      <c r="G27" s="87" t="n">
        <f aca="true">IFERROR(TODAY()-F27,0)</f>
        <v>14</v>
      </c>
      <c r="H27" s="112" t="str">
        <f aca="false">IF(G27&gt;7,"🔴 CRITICAL — Call Immediately",IF(G27&gt;0,"🟠 OVERDUE — Call Today",IF(G27=0,"🟡 DUE TODAY — Schedule Now",IF(G27&gt;-3,"🔵 Due This Week","🟢 Upcoming — On Track"))))</f>
        <v>🔴 CRITICAL — Call Immediately</v>
      </c>
    </row>
    <row r="28" customFormat="false" ht="15" hidden="false" customHeight="true" outlineLevel="0" collapsed="false">
      <c r="A28" s="70" t="s">
        <v>1251</v>
      </c>
      <c r="B28" s="72" t="s">
        <v>1252</v>
      </c>
      <c r="C28" s="72" t="s">
        <v>124</v>
      </c>
      <c r="D28" s="70" t="s">
        <v>143</v>
      </c>
      <c r="E28" s="71" t="n">
        <v>45594</v>
      </c>
      <c r="F28" s="71" t="n">
        <v>46187</v>
      </c>
      <c r="G28" s="88" t="n">
        <f aca="true">IFERROR(TODAY()-F28,0)</f>
        <v>14</v>
      </c>
      <c r="H28" s="110" t="str">
        <f aca="false">IF(G28&gt;7,"🔴 CRITICAL — Call Immediately",IF(G28&gt;0,"🟠 OVERDUE — Call Today",IF(G28=0,"🟡 DUE TODAY — Schedule Now",IF(G28&gt;-3,"🔵 Due This Week","🟢 Upcoming — On Track"))))</f>
        <v>🔴 CRITICAL — Call Immediately</v>
      </c>
    </row>
    <row r="29" customFormat="false" ht="15" hidden="false" customHeight="true" outlineLevel="0" collapsed="false">
      <c r="A29" s="75" t="s">
        <v>1509</v>
      </c>
      <c r="B29" s="77" t="s">
        <v>1510</v>
      </c>
      <c r="C29" s="77" t="s">
        <v>191</v>
      </c>
      <c r="D29" s="75" t="s">
        <v>94</v>
      </c>
      <c r="E29" s="76" t="n">
        <v>45651</v>
      </c>
      <c r="F29" s="76" t="n">
        <v>46187</v>
      </c>
      <c r="G29" s="87" t="n">
        <f aca="true">IFERROR(TODAY()-F29,0)</f>
        <v>14</v>
      </c>
      <c r="H29" s="112" t="str">
        <f aca="false">IF(G29&gt;7,"🔴 CRITICAL — Call Immediately",IF(G29&gt;0,"🟠 OVERDUE — Call Today",IF(G29=0,"🟡 DUE TODAY — Schedule Now",IF(G29&gt;-3,"🔵 Due This Week","🟢 Upcoming — On Track"))))</f>
        <v>🔴 CRITICAL — Call Immediately</v>
      </c>
    </row>
    <row r="30" customFormat="false" ht="15" hidden="false" customHeight="true" outlineLevel="0" collapsed="false">
      <c r="A30" s="70" t="s">
        <v>133</v>
      </c>
      <c r="B30" s="72" t="s">
        <v>134</v>
      </c>
      <c r="C30" s="72" t="s">
        <v>124</v>
      </c>
      <c r="D30" s="70" t="s">
        <v>94</v>
      </c>
      <c r="E30" s="71" t="n">
        <v>45413</v>
      </c>
      <c r="F30" s="71" t="n">
        <v>46188</v>
      </c>
      <c r="G30" s="88" t="n">
        <f aca="true">IFERROR(TODAY()-F30,0)</f>
        <v>13</v>
      </c>
      <c r="H30" s="110" t="str">
        <f aca="false">IF(G30&gt;7,"🔴 CRITICAL — Call Immediately",IF(G30&gt;0,"🟠 OVERDUE — Call Today",IF(G30=0,"🟡 DUE TODAY — Schedule Now",IF(G30&gt;-3,"🔵 Due This Week","🟢 Upcoming — On Track"))))</f>
        <v>🔴 CRITICAL — Call Immediately</v>
      </c>
    </row>
    <row r="31" customFormat="false" ht="15" hidden="false" customHeight="true" outlineLevel="0" collapsed="false">
      <c r="A31" s="75" t="s">
        <v>183</v>
      </c>
      <c r="B31" s="77" t="s">
        <v>184</v>
      </c>
      <c r="C31" s="77" t="s">
        <v>178</v>
      </c>
      <c r="D31" s="75" t="s">
        <v>94</v>
      </c>
      <c r="E31" s="76" t="n">
        <v>45714</v>
      </c>
      <c r="F31" s="76" t="n">
        <v>46188</v>
      </c>
      <c r="G31" s="87" t="n">
        <f aca="true">IFERROR(TODAY()-F31,0)</f>
        <v>13</v>
      </c>
      <c r="H31" s="112" t="str">
        <f aca="false">IF(G31&gt;7,"🔴 CRITICAL — Call Immediately",IF(G31&gt;0,"🟠 OVERDUE — Call Today",IF(G31=0,"🟡 DUE TODAY — Schedule Now",IF(G31&gt;-3,"🔵 Due This Week","🟢 Upcoming — On Track"))))</f>
        <v>🔴 CRITICAL — Call Immediately</v>
      </c>
    </row>
    <row r="32" customFormat="false" ht="15" hidden="false" customHeight="true" outlineLevel="0" collapsed="false">
      <c r="A32" s="70" t="s">
        <v>539</v>
      </c>
      <c r="B32" s="72" t="s">
        <v>540</v>
      </c>
      <c r="C32" s="72" t="s">
        <v>103</v>
      </c>
      <c r="D32" s="70" t="s">
        <v>161</v>
      </c>
      <c r="E32" s="71" t="n">
        <v>45586</v>
      </c>
      <c r="F32" s="71" t="n">
        <v>46188</v>
      </c>
      <c r="G32" s="88" t="n">
        <f aca="true">IFERROR(TODAY()-F32,0)</f>
        <v>13</v>
      </c>
      <c r="H32" s="110" t="str">
        <f aca="false">IF(G32&gt;7,"🔴 CRITICAL — Call Immediately",IF(G32&gt;0,"🟠 OVERDUE — Call Today",IF(G32=0,"🟡 DUE TODAY — Schedule Now",IF(G32&gt;-3,"🔵 Due This Week","🟢 Upcoming — On Track"))))</f>
        <v>🔴 CRITICAL — Call Immediately</v>
      </c>
    </row>
    <row r="33" customFormat="false" ht="15" hidden="false" customHeight="true" outlineLevel="0" collapsed="false">
      <c r="A33" s="75" t="s">
        <v>605</v>
      </c>
      <c r="B33" s="77" t="s">
        <v>606</v>
      </c>
      <c r="C33" s="77" t="s">
        <v>124</v>
      </c>
      <c r="D33" s="75" t="s">
        <v>104</v>
      </c>
      <c r="E33" s="76" t="n">
        <v>45564</v>
      </c>
      <c r="F33" s="76" t="n">
        <v>46188</v>
      </c>
      <c r="G33" s="87" t="n">
        <f aca="true">IFERROR(TODAY()-F33,0)</f>
        <v>13</v>
      </c>
      <c r="H33" s="112" t="str">
        <f aca="false">IF(G33&gt;7,"🔴 CRITICAL — Call Immediately",IF(G33&gt;0,"🟠 OVERDUE — Call Today",IF(G33=0,"🟡 DUE TODAY — Schedule Now",IF(G33&gt;-3,"🔵 Due This Week","🟢 Upcoming — On Track"))))</f>
        <v>🔴 CRITICAL — Call Immediately</v>
      </c>
    </row>
    <row r="34" customFormat="false" ht="15" hidden="false" customHeight="true" outlineLevel="0" collapsed="false">
      <c r="A34" s="70" t="s">
        <v>708</v>
      </c>
      <c r="B34" s="72" t="s">
        <v>709</v>
      </c>
      <c r="C34" s="72" t="s">
        <v>112</v>
      </c>
      <c r="D34" s="70" t="s">
        <v>143</v>
      </c>
      <c r="E34" s="71" t="n">
        <v>45697</v>
      </c>
      <c r="F34" s="71" t="n">
        <v>46188</v>
      </c>
      <c r="G34" s="88" t="n">
        <f aca="true">IFERROR(TODAY()-F34,0)</f>
        <v>13</v>
      </c>
      <c r="H34" s="110" t="str">
        <f aca="false">IF(G34&gt;7,"🔴 CRITICAL — Call Immediately",IF(G34&gt;0,"🟠 OVERDUE — Call Today",IF(G34=0,"🟡 DUE TODAY — Schedule Now",IF(G34&gt;-3,"🔵 Due This Week","🟢 Upcoming — On Track"))))</f>
        <v>🔴 CRITICAL — Call Immediately</v>
      </c>
    </row>
    <row r="35" customFormat="false" ht="15" hidden="false" customHeight="true" outlineLevel="0" collapsed="false">
      <c r="A35" s="75" t="s">
        <v>1033</v>
      </c>
      <c r="B35" s="77" t="s">
        <v>639</v>
      </c>
      <c r="C35" s="77" t="s">
        <v>112</v>
      </c>
      <c r="D35" s="75" t="s">
        <v>143</v>
      </c>
      <c r="E35" s="76" t="n">
        <v>45447</v>
      </c>
      <c r="F35" s="76" t="n">
        <v>46188</v>
      </c>
      <c r="G35" s="87" t="n">
        <f aca="true">IFERROR(TODAY()-F35,0)</f>
        <v>13</v>
      </c>
      <c r="H35" s="112" t="str">
        <f aca="false">IF(G35&gt;7,"🔴 CRITICAL — Call Immediately",IF(G35&gt;0,"🟠 OVERDUE — Call Today",IF(G35=0,"🟡 DUE TODAY — Schedule Now",IF(G35&gt;-3,"🔵 Due This Week","🟢 Upcoming — On Track"))))</f>
        <v>🔴 CRITICAL — Call Immediately</v>
      </c>
    </row>
    <row r="36" customFormat="false" ht="15" hidden="false" customHeight="true" outlineLevel="0" collapsed="false">
      <c r="A36" s="70" t="s">
        <v>1089</v>
      </c>
      <c r="B36" s="72" t="s">
        <v>1090</v>
      </c>
      <c r="C36" s="72" t="s">
        <v>142</v>
      </c>
      <c r="D36" s="70" t="s">
        <v>104</v>
      </c>
      <c r="E36" s="71" t="n">
        <v>45555</v>
      </c>
      <c r="F36" s="71" t="n">
        <v>46188</v>
      </c>
      <c r="G36" s="88" t="n">
        <f aca="true">IFERROR(TODAY()-F36,0)</f>
        <v>13</v>
      </c>
      <c r="H36" s="110" t="str">
        <f aca="false">IF(G36&gt;7,"🔴 CRITICAL — Call Immediately",IF(G36&gt;0,"🟠 OVERDUE — Call Today",IF(G36=0,"🟡 DUE TODAY — Schedule Now",IF(G36&gt;-3,"🔵 Due This Week","🟢 Upcoming — On Track"))))</f>
        <v>🔴 CRITICAL — Call Immediately</v>
      </c>
    </row>
    <row r="37" customFormat="false" ht="15" hidden="false" customHeight="true" outlineLevel="0" collapsed="false">
      <c r="A37" s="75" t="s">
        <v>1106</v>
      </c>
      <c r="B37" s="77" t="s">
        <v>573</v>
      </c>
      <c r="C37" s="77" t="s">
        <v>124</v>
      </c>
      <c r="D37" s="75" t="s">
        <v>94</v>
      </c>
      <c r="E37" s="76" t="n">
        <v>45442</v>
      </c>
      <c r="F37" s="76" t="n">
        <v>46188</v>
      </c>
      <c r="G37" s="87" t="n">
        <f aca="true">IFERROR(TODAY()-F37,0)</f>
        <v>13</v>
      </c>
      <c r="H37" s="112" t="str">
        <f aca="false">IF(G37&gt;7,"🔴 CRITICAL — Call Immediately",IF(G37&gt;0,"🟠 OVERDUE — Call Today",IF(G37=0,"🟡 DUE TODAY — Schedule Now",IF(G37&gt;-3,"🔵 Due This Week","🟢 Upcoming — On Track"))))</f>
        <v>🔴 CRITICAL — Call Immediately</v>
      </c>
    </row>
    <row r="38" customFormat="false" ht="15" hidden="false" customHeight="true" outlineLevel="0" collapsed="false">
      <c r="A38" s="70" t="s">
        <v>1342</v>
      </c>
      <c r="B38" s="72" t="s">
        <v>1343</v>
      </c>
      <c r="C38" s="72" t="s">
        <v>148</v>
      </c>
      <c r="D38" s="70" t="s">
        <v>104</v>
      </c>
      <c r="E38" s="71" t="n">
        <v>45704</v>
      </c>
      <c r="F38" s="71" t="n">
        <v>46188</v>
      </c>
      <c r="G38" s="88" t="n">
        <f aca="true">IFERROR(TODAY()-F38,0)</f>
        <v>13</v>
      </c>
      <c r="H38" s="110" t="str">
        <f aca="false">IF(G38&gt;7,"🔴 CRITICAL — Call Immediately",IF(G38&gt;0,"🟠 OVERDUE — Call Today",IF(G38=0,"🟡 DUE TODAY — Schedule Now",IF(G38&gt;-3,"🔵 Due This Week","🟢 Upcoming — On Track"))))</f>
        <v>🔴 CRITICAL — Call Immediately</v>
      </c>
    </row>
    <row r="39" customFormat="false" ht="15" hidden="false" customHeight="true" outlineLevel="0" collapsed="false">
      <c r="A39" s="75" t="s">
        <v>105</v>
      </c>
      <c r="B39" s="77" t="s">
        <v>106</v>
      </c>
      <c r="C39" s="77" t="s">
        <v>112</v>
      </c>
      <c r="D39" s="75" t="s">
        <v>104</v>
      </c>
      <c r="E39" s="76" t="n">
        <v>45556</v>
      </c>
      <c r="F39" s="76" t="n">
        <v>46189</v>
      </c>
      <c r="G39" s="87" t="n">
        <f aca="true">IFERROR(TODAY()-F39,0)</f>
        <v>12</v>
      </c>
      <c r="H39" s="112" t="str">
        <f aca="false">IF(G39&gt;7,"🔴 CRITICAL — Call Immediately",IF(G39&gt;0,"🟠 OVERDUE — Call Today",IF(G39=0,"🟡 DUE TODAY — Schedule Now",IF(G39&gt;-3,"🔵 Due This Week","🟢 Upcoming — On Track"))))</f>
        <v>🔴 CRITICAL — Call Immediately</v>
      </c>
    </row>
    <row r="40" customFormat="false" ht="15" hidden="false" customHeight="true" outlineLevel="0" collapsed="false">
      <c r="A40" s="70" t="s">
        <v>162</v>
      </c>
      <c r="B40" s="72" t="s">
        <v>163</v>
      </c>
      <c r="C40" s="72" t="s">
        <v>112</v>
      </c>
      <c r="D40" s="70" t="s">
        <v>104</v>
      </c>
      <c r="E40" s="71" t="n">
        <v>45511</v>
      </c>
      <c r="F40" s="71" t="n">
        <v>46189</v>
      </c>
      <c r="G40" s="88" t="n">
        <f aca="true">IFERROR(TODAY()-F40,0)</f>
        <v>12</v>
      </c>
      <c r="H40" s="110" t="str">
        <f aca="false">IF(G40&gt;7,"🔴 CRITICAL — Call Immediately",IF(G40&gt;0,"🟠 OVERDUE — Call Today",IF(G40=0,"🟡 DUE TODAY — Schedule Now",IF(G40&gt;-3,"🔵 Due This Week","🟢 Upcoming — On Track"))))</f>
        <v>🔴 CRITICAL — Call Immediately</v>
      </c>
    </row>
    <row r="41" customFormat="false" ht="15" hidden="false" customHeight="true" outlineLevel="0" collapsed="false">
      <c r="A41" s="75" t="s">
        <v>175</v>
      </c>
      <c r="B41" s="77" t="s">
        <v>176</v>
      </c>
      <c r="C41" s="77" t="s">
        <v>178</v>
      </c>
      <c r="D41" s="75" t="s">
        <v>104</v>
      </c>
      <c r="E41" s="76" t="n">
        <v>45402</v>
      </c>
      <c r="F41" s="76" t="n">
        <v>46189</v>
      </c>
      <c r="G41" s="87" t="n">
        <f aca="true">IFERROR(TODAY()-F41,0)</f>
        <v>12</v>
      </c>
      <c r="H41" s="112" t="str">
        <f aca="false">IF(G41&gt;7,"🔴 CRITICAL — Call Immediately",IF(G41&gt;0,"🟠 OVERDUE — Call Today",IF(G41=0,"🟡 DUE TODAY — Schedule Now",IF(G41&gt;-3,"🔵 Due This Week","🟢 Upcoming — On Track"))))</f>
        <v>🔴 CRITICAL — Call Immediately</v>
      </c>
    </row>
    <row r="42" customFormat="false" ht="15" hidden="false" customHeight="true" outlineLevel="0" collapsed="false">
      <c r="A42" s="70" t="s">
        <v>188</v>
      </c>
      <c r="B42" s="72" t="s">
        <v>189</v>
      </c>
      <c r="C42" s="72" t="s">
        <v>191</v>
      </c>
      <c r="D42" s="70" t="s">
        <v>104</v>
      </c>
      <c r="E42" s="71" t="n">
        <v>45621</v>
      </c>
      <c r="F42" s="71" t="n">
        <v>46189</v>
      </c>
      <c r="G42" s="88" t="n">
        <f aca="true">IFERROR(TODAY()-F42,0)</f>
        <v>12</v>
      </c>
      <c r="H42" s="110" t="str">
        <f aca="false">IF(G42&gt;7,"🔴 CRITICAL — Call Immediately",IF(G42&gt;0,"🟠 OVERDUE — Call Today",IF(G42=0,"🟡 DUE TODAY — Schedule Now",IF(G42&gt;-3,"🔵 Due This Week","🟢 Upcoming — On Track"))))</f>
        <v>🔴 CRITICAL — Call Immediately</v>
      </c>
    </row>
    <row r="43" customFormat="false" ht="15" hidden="false" customHeight="true" outlineLevel="0" collapsed="false">
      <c r="A43" s="75" t="s">
        <v>292</v>
      </c>
      <c r="B43" s="77" t="s">
        <v>293</v>
      </c>
      <c r="C43" s="77" t="s">
        <v>124</v>
      </c>
      <c r="D43" s="75" t="s">
        <v>120</v>
      </c>
      <c r="E43" s="76" t="n">
        <v>45706</v>
      </c>
      <c r="F43" s="76" t="n">
        <v>46189</v>
      </c>
      <c r="G43" s="87" t="n">
        <f aca="true">IFERROR(TODAY()-F43,0)</f>
        <v>12</v>
      </c>
      <c r="H43" s="112" t="str">
        <f aca="false">IF(G43&gt;7,"🔴 CRITICAL — Call Immediately",IF(G43&gt;0,"🟠 OVERDUE — Call Today",IF(G43=0,"🟡 DUE TODAY — Schedule Now",IF(G43&gt;-3,"🔵 Due This Week","🟢 Upcoming — On Track"))))</f>
        <v>🔴 CRITICAL — Call Immediately</v>
      </c>
    </row>
    <row r="44" customFormat="false" ht="15" hidden="false" customHeight="true" outlineLevel="0" collapsed="false">
      <c r="A44" s="70" t="s">
        <v>322</v>
      </c>
      <c r="B44" s="72" t="s">
        <v>323</v>
      </c>
      <c r="C44" s="72" t="s">
        <v>178</v>
      </c>
      <c r="D44" s="70" t="s">
        <v>104</v>
      </c>
      <c r="E44" s="71" t="n">
        <v>45628</v>
      </c>
      <c r="F44" s="71" t="n">
        <v>46189</v>
      </c>
      <c r="G44" s="88" t="n">
        <f aca="true">IFERROR(TODAY()-F44,0)</f>
        <v>12</v>
      </c>
      <c r="H44" s="110" t="str">
        <f aca="false">IF(G44&gt;7,"🔴 CRITICAL — Call Immediately",IF(G44&gt;0,"🟠 OVERDUE — Call Today",IF(G44=0,"🟡 DUE TODAY — Schedule Now",IF(G44&gt;-3,"🔵 Due This Week","🟢 Upcoming — On Track"))))</f>
        <v>🔴 CRITICAL — Call Immediately</v>
      </c>
    </row>
    <row r="45" customFormat="false" ht="15" hidden="false" customHeight="true" outlineLevel="0" collapsed="false">
      <c r="A45" s="75" t="s">
        <v>337</v>
      </c>
      <c r="B45" s="77" t="s">
        <v>338</v>
      </c>
      <c r="C45" s="77" t="s">
        <v>124</v>
      </c>
      <c r="D45" s="75" t="s">
        <v>94</v>
      </c>
      <c r="E45" s="76" t="n">
        <v>45521</v>
      </c>
      <c r="F45" s="76" t="n">
        <v>46189</v>
      </c>
      <c r="G45" s="87" t="n">
        <f aca="true">IFERROR(TODAY()-F45,0)</f>
        <v>12</v>
      </c>
      <c r="H45" s="112" t="str">
        <f aca="false">IF(G45&gt;7,"🔴 CRITICAL — Call Immediately",IF(G45&gt;0,"🟠 OVERDUE — Call Today",IF(G45=0,"🟡 DUE TODAY — Schedule Now",IF(G45&gt;-3,"🔵 Due This Week","🟢 Upcoming — On Track"))))</f>
        <v>🔴 CRITICAL — Call Immediately</v>
      </c>
    </row>
    <row r="46" customFormat="false" ht="15" hidden="false" customHeight="true" outlineLevel="0" collapsed="false">
      <c r="A46" s="70" t="s">
        <v>434</v>
      </c>
      <c r="B46" s="72" t="s">
        <v>435</v>
      </c>
      <c r="C46" s="72" t="s">
        <v>142</v>
      </c>
      <c r="D46" s="70" t="s">
        <v>94</v>
      </c>
      <c r="E46" s="71" t="n">
        <v>45611</v>
      </c>
      <c r="F46" s="71" t="n">
        <v>46189</v>
      </c>
      <c r="G46" s="88" t="n">
        <f aca="true">IFERROR(TODAY()-F46,0)</f>
        <v>12</v>
      </c>
      <c r="H46" s="110" t="str">
        <f aca="false">IF(G46&gt;7,"🔴 CRITICAL — Call Immediately",IF(G46&gt;0,"🟠 OVERDUE — Call Today",IF(G46=0,"🟡 DUE TODAY — Schedule Now",IF(G46&gt;-3,"🔵 Due This Week","🟢 Upcoming — On Track"))))</f>
        <v>🔴 CRITICAL — Call Immediately</v>
      </c>
    </row>
    <row r="47" customFormat="false" ht="15" hidden="false" customHeight="true" outlineLevel="0" collapsed="false">
      <c r="A47" s="75" t="s">
        <v>1078</v>
      </c>
      <c r="B47" s="77" t="s">
        <v>1079</v>
      </c>
      <c r="C47" s="77" t="s">
        <v>170</v>
      </c>
      <c r="D47" s="75" t="s">
        <v>120</v>
      </c>
      <c r="E47" s="76" t="n">
        <v>45415</v>
      </c>
      <c r="F47" s="76" t="n">
        <v>46189</v>
      </c>
      <c r="G47" s="87" t="n">
        <f aca="true">IFERROR(TODAY()-F47,0)</f>
        <v>12</v>
      </c>
      <c r="H47" s="112" t="str">
        <f aca="false">IF(G47&gt;7,"🔴 CRITICAL — Call Immediately",IF(G47&gt;0,"🟠 OVERDUE — Call Today",IF(G47=0,"🟡 DUE TODAY — Schedule Now",IF(G47&gt;-3,"🔵 Due This Week","🟢 Upcoming — On Track"))))</f>
        <v>🔴 CRITICAL — Call Immediately</v>
      </c>
    </row>
    <row r="48" customFormat="false" ht="15" hidden="false" customHeight="true" outlineLevel="0" collapsed="false">
      <c r="A48" s="70" t="s">
        <v>1163</v>
      </c>
      <c r="B48" s="72" t="s">
        <v>1164</v>
      </c>
      <c r="C48" s="72" t="s">
        <v>148</v>
      </c>
      <c r="D48" s="70" t="s">
        <v>161</v>
      </c>
      <c r="E48" s="71" t="n">
        <v>45663</v>
      </c>
      <c r="F48" s="71" t="n">
        <v>46189</v>
      </c>
      <c r="G48" s="88" t="n">
        <f aca="true">IFERROR(TODAY()-F48,0)</f>
        <v>12</v>
      </c>
      <c r="H48" s="110" t="str">
        <f aca="false">IF(G48&gt;7,"🔴 CRITICAL — Call Immediately",IF(G48&gt;0,"🟠 OVERDUE — Call Today",IF(G48=0,"🟡 DUE TODAY — Schedule Now",IF(G48&gt;-3,"🔵 Due This Week","🟢 Upcoming — On Track"))))</f>
        <v>🔴 CRITICAL — Call Immediately</v>
      </c>
    </row>
    <row r="49" customFormat="false" ht="15" hidden="false" customHeight="true" outlineLevel="0" collapsed="false">
      <c r="A49" s="75" t="s">
        <v>1248</v>
      </c>
      <c r="B49" s="77" t="s">
        <v>1249</v>
      </c>
      <c r="C49" s="77" t="s">
        <v>148</v>
      </c>
      <c r="D49" s="75" t="s">
        <v>104</v>
      </c>
      <c r="E49" s="76" t="n">
        <v>45391</v>
      </c>
      <c r="F49" s="76" t="n">
        <v>46189</v>
      </c>
      <c r="G49" s="87" t="n">
        <f aca="true">IFERROR(TODAY()-F49,0)</f>
        <v>12</v>
      </c>
      <c r="H49" s="112" t="str">
        <f aca="false">IF(G49&gt;7,"🔴 CRITICAL — Call Immediately",IF(G49&gt;0,"🟠 OVERDUE — Call Today",IF(G49=0,"🟡 DUE TODAY — Schedule Now",IF(G49&gt;-3,"🔵 Due This Week","🟢 Upcoming — On Track"))))</f>
        <v>🔴 CRITICAL — Call Immediately</v>
      </c>
    </row>
    <row r="50" customFormat="false" ht="15" hidden="false" customHeight="true" outlineLevel="0" collapsed="false">
      <c r="A50" s="70" t="s">
        <v>1285</v>
      </c>
      <c r="B50" s="72" t="s">
        <v>1286</v>
      </c>
      <c r="C50" s="72" t="s">
        <v>170</v>
      </c>
      <c r="D50" s="70" t="s">
        <v>120</v>
      </c>
      <c r="E50" s="71" t="n">
        <v>45517</v>
      </c>
      <c r="F50" s="71" t="n">
        <v>46189</v>
      </c>
      <c r="G50" s="88" t="n">
        <f aca="true">IFERROR(TODAY()-F50,0)</f>
        <v>12</v>
      </c>
      <c r="H50" s="110" t="str">
        <f aca="false">IF(G50&gt;7,"🔴 CRITICAL — Call Immediately",IF(G50&gt;0,"🟠 OVERDUE — Call Today",IF(G50=0,"🟡 DUE TODAY — Schedule Now",IF(G50&gt;-3,"🔵 Due This Week","🟢 Upcoming — On Track"))))</f>
        <v>🔴 CRITICAL — Call Immediately</v>
      </c>
    </row>
    <row r="51" customFormat="false" ht="15" hidden="false" customHeight="true" outlineLevel="0" collapsed="false">
      <c r="A51" s="75" t="s">
        <v>1415</v>
      </c>
      <c r="B51" s="77" t="s">
        <v>1416</v>
      </c>
      <c r="C51" s="77" t="s">
        <v>148</v>
      </c>
      <c r="D51" s="75" t="s">
        <v>104</v>
      </c>
      <c r="E51" s="76" t="n">
        <v>45622</v>
      </c>
      <c r="F51" s="76" t="n">
        <v>46189</v>
      </c>
      <c r="G51" s="87" t="n">
        <f aca="true">IFERROR(TODAY()-F51,0)</f>
        <v>12</v>
      </c>
      <c r="H51" s="112" t="str">
        <f aca="false">IF(G51&gt;7,"🔴 CRITICAL — Call Immediately",IF(G51&gt;0,"🟠 OVERDUE — Call Today",IF(G51=0,"🟡 DUE TODAY — Schedule Now",IF(G51&gt;-3,"🔵 Due This Week","🟢 Upcoming — On Track"))))</f>
        <v>🔴 CRITICAL — Call Immediately</v>
      </c>
    </row>
    <row r="52" customFormat="false" ht="15" hidden="false" customHeight="true" outlineLevel="0" collapsed="false">
      <c r="A52" s="70" t="s">
        <v>1498</v>
      </c>
      <c r="B52" s="72" t="s">
        <v>1499</v>
      </c>
      <c r="C52" s="72" t="s">
        <v>124</v>
      </c>
      <c r="D52" s="70" t="s">
        <v>161</v>
      </c>
      <c r="E52" s="71" t="n">
        <v>45555</v>
      </c>
      <c r="F52" s="71" t="n">
        <v>46189</v>
      </c>
      <c r="G52" s="88" t="n">
        <f aca="true">IFERROR(TODAY()-F52,0)</f>
        <v>12</v>
      </c>
      <c r="H52" s="110" t="str">
        <f aca="false">IF(G52&gt;7,"🔴 CRITICAL — Call Immediately",IF(G52&gt;0,"🟠 OVERDUE — Call Today",IF(G52=0,"🟡 DUE TODAY — Schedule Now",IF(G52&gt;-3,"🔵 Due This Week","🟢 Upcoming — On Track"))))</f>
        <v>🔴 CRITICAL — Call Immediately</v>
      </c>
    </row>
    <row r="53" customFormat="false" ht="15" hidden="false" customHeight="true" outlineLevel="0" collapsed="false">
      <c r="A53" s="75" t="s">
        <v>259</v>
      </c>
      <c r="B53" s="77" t="s">
        <v>260</v>
      </c>
      <c r="C53" s="77" t="s">
        <v>142</v>
      </c>
      <c r="D53" s="75" t="s">
        <v>143</v>
      </c>
      <c r="E53" s="76" t="n">
        <v>45459</v>
      </c>
      <c r="F53" s="76" t="n">
        <v>46190</v>
      </c>
      <c r="G53" s="87" t="n">
        <f aca="true">IFERROR(TODAY()-F53,0)</f>
        <v>11</v>
      </c>
      <c r="H53" s="112" t="str">
        <f aca="false">IF(G53&gt;7,"🔴 CRITICAL — Call Immediately",IF(G53&gt;0,"🟠 OVERDUE — Call Today",IF(G53=0,"🟡 DUE TODAY — Schedule Now",IF(G53&gt;-3,"🔵 Due This Week","🟢 Upcoming — On Track"))))</f>
        <v>🔴 CRITICAL — Call Immediately</v>
      </c>
    </row>
    <row r="54" customFormat="false" ht="15" hidden="false" customHeight="true" outlineLevel="0" collapsed="false">
      <c r="A54" s="70" t="s">
        <v>313</v>
      </c>
      <c r="B54" s="72" t="s">
        <v>314</v>
      </c>
      <c r="C54" s="72" t="s">
        <v>124</v>
      </c>
      <c r="D54" s="70" t="s">
        <v>120</v>
      </c>
      <c r="E54" s="71" t="n">
        <v>45484</v>
      </c>
      <c r="F54" s="71" t="n">
        <v>46190</v>
      </c>
      <c r="G54" s="88" t="n">
        <f aca="true">IFERROR(TODAY()-F54,0)</f>
        <v>11</v>
      </c>
      <c r="H54" s="110" t="str">
        <f aca="false">IF(G54&gt;7,"🔴 CRITICAL — Call Immediately",IF(G54&gt;0,"🟠 OVERDUE — Call Today",IF(G54=0,"🟡 DUE TODAY — Schedule Now",IF(G54&gt;-3,"🔵 Due This Week","🟢 Upcoming — On Track"))))</f>
        <v>🔴 CRITICAL — Call Immediately</v>
      </c>
    </row>
    <row r="55" customFormat="false" ht="15" hidden="false" customHeight="true" outlineLevel="0" collapsed="false">
      <c r="A55" s="75" t="s">
        <v>319</v>
      </c>
      <c r="B55" s="77" t="s">
        <v>320</v>
      </c>
      <c r="C55" s="77" t="s">
        <v>103</v>
      </c>
      <c r="D55" s="75" t="s">
        <v>104</v>
      </c>
      <c r="E55" s="76" t="n">
        <v>45451</v>
      </c>
      <c r="F55" s="76" t="n">
        <v>46190</v>
      </c>
      <c r="G55" s="87" t="n">
        <f aca="true">IFERROR(TODAY()-F55,0)</f>
        <v>11</v>
      </c>
      <c r="H55" s="112" t="str">
        <f aca="false">IF(G55&gt;7,"🔴 CRITICAL — Call Immediately",IF(G55&gt;0,"🟠 OVERDUE — Call Today",IF(G55=0,"🟡 DUE TODAY — Schedule Now",IF(G55&gt;-3,"🔵 Due This Week","🟢 Upcoming — On Track"))))</f>
        <v>🔴 CRITICAL — Call Immediately</v>
      </c>
    </row>
    <row r="56" customFormat="false" ht="15" hidden="false" customHeight="true" outlineLevel="0" collapsed="false">
      <c r="A56" s="70" t="s">
        <v>410</v>
      </c>
      <c r="B56" s="72" t="s">
        <v>411</v>
      </c>
      <c r="C56" s="72" t="s">
        <v>178</v>
      </c>
      <c r="D56" s="70" t="s">
        <v>104</v>
      </c>
      <c r="E56" s="71" t="n">
        <v>45636</v>
      </c>
      <c r="F56" s="71" t="n">
        <v>46190</v>
      </c>
      <c r="G56" s="88" t="n">
        <f aca="true">IFERROR(TODAY()-F56,0)</f>
        <v>11</v>
      </c>
      <c r="H56" s="110" t="str">
        <f aca="false">IF(G56&gt;7,"🔴 CRITICAL — Call Immediately",IF(G56&gt;0,"🟠 OVERDUE — Call Today",IF(G56=0,"🟡 DUE TODAY — Schedule Now",IF(G56&gt;-3,"🔵 Due This Week","🟢 Upcoming — On Track"))))</f>
        <v>🔴 CRITICAL — Call Immediately</v>
      </c>
    </row>
    <row r="57" customFormat="false" ht="15" hidden="false" customHeight="true" outlineLevel="0" collapsed="false">
      <c r="A57" s="75" t="s">
        <v>416</v>
      </c>
      <c r="B57" s="77" t="s">
        <v>417</v>
      </c>
      <c r="C57" s="77" t="s">
        <v>142</v>
      </c>
      <c r="D57" s="75" t="s">
        <v>143</v>
      </c>
      <c r="E57" s="76" t="n">
        <v>45506</v>
      </c>
      <c r="F57" s="76" t="n">
        <v>46190</v>
      </c>
      <c r="G57" s="87" t="n">
        <f aca="true">IFERROR(TODAY()-F57,0)</f>
        <v>11</v>
      </c>
      <c r="H57" s="112" t="str">
        <f aca="false">IF(G57&gt;7,"🔴 CRITICAL — Call Immediately",IF(G57&gt;0,"🟠 OVERDUE — Call Today",IF(G57=0,"🟡 DUE TODAY — Schedule Now",IF(G57&gt;-3,"🔵 Due This Week","🟢 Upcoming — On Track"))))</f>
        <v>🔴 CRITICAL — Call Immediately</v>
      </c>
    </row>
    <row r="58" customFormat="false" ht="15" hidden="false" customHeight="true" outlineLevel="0" collapsed="false">
      <c r="A58" s="70" t="s">
        <v>599</v>
      </c>
      <c r="B58" s="72" t="s">
        <v>600</v>
      </c>
      <c r="C58" s="72" t="s">
        <v>93</v>
      </c>
      <c r="D58" s="70" t="s">
        <v>104</v>
      </c>
      <c r="E58" s="71" t="n">
        <v>45511</v>
      </c>
      <c r="F58" s="71" t="n">
        <v>46190</v>
      </c>
      <c r="G58" s="88" t="n">
        <f aca="true">IFERROR(TODAY()-F58,0)</f>
        <v>11</v>
      </c>
      <c r="H58" s="110" t="str">
        <f aca="false">IF(G58&gt;7,"🔴 CRITICAL — Call Immediately",IF(G58&gt;0,"🟠 OVERDUE — Call Today",IF(G58=0,"🟡 DUE TODAY — Schedule Now",IF(G58&gt;-3,"🔵 Due This Week","🟢 Upcoming — On Track"))))</f>
        <v>🔴 CRITICAL — Call Immediately</v>
      </c>
    </row>
    <row r="59" customFormat="false" ht="15" hidden="false" customHeight="true" outlineLevel="0" collapsed="false">
      <c r="A59" s="75" t="s">
        <v>882</v>
      </c>
      <c r="B59" s="77" t="s">
        <v>883</v>
      </c>
      <c r="C59" s="77" t="s">
        <v>148</v>
      </c>
      <c r="D59" s="75" t="s">
        <v>104</v>
      </c>
      <c r="E59" s="76" t="n">
        <v>45466</v>
      </c>
      <c r="F59" s="76" t="n">
        <v>46190</v>
      </c>
      <c r="G59" s="87" t="n">
        <f aca="true">IFERROR(TODAY()-F59,0)</f>
        <v>11</v>
      </c>
      <c r="H59" s="112" t="str">
        <f aca="false">IF(G59&gt;7,"🔴 CRITICAL — Call Immediately",IF(G59&gt;0,"🟠 OVERDUE — Call Today",IF(G59=0,"🟡 DUE TODAY — Schedule Now",IF(G59&gt;-3,"🔵 Due This Week","🟢 Upcoming — On Track"))))</f>
        <v>🔴 CRITICAL — Call Immediately</v>
      </c>
    </row>
    <row r="60" customFormat="false" ht="15" hidden="false" customHeight="true" outlineLevel="0" collapsed="false">
      <c r="A60" s="70" t="s">
        <v>959</v>
      </c>
      <c r="B60" s="72" t="s">
        <v>960</v>
      </c>
      <c r="C60" s="72" t="s">
        <v>178</v>
      </c>
      <c r="D60" s="70" t="s">
        <v>104</v>
      </c>
      <c r="E60" s="71" t="n">
        <v>45549</v>
      </c>
      <c r="F60" s="71" t="n">
        <v>46190</v>
      </c>
      <c r="G60" s="88" t="n">
        <f aca="true">IFERROR(TODAY()-F60,0)</f>
        <v>11</v>
      </c>
      <c r="H60" s="110" t="str">
        <f aca="false">IF(G60&gt;7,"🔴 CRITICAL — Call Immediately",IF(G60&gt;0,"🟠 OVERDUE — Call Today",IF(G60=0,"🟡 DUE TODAY — Schedule Now",IF(G60&gt;-3,"🔵 Due This Week","🟢 Upcoming — On Track"))))</f>
        <v>🔴 CRITICAL — Call Immediately</v>
      </c>
    </row>
    <row r="61" customFormat="false" ht="15" hidden="false" customHeight="true" outlineLevel="0" collapsed="false">
      <c r="A61" s="75" t="s">
        <v>981</v>
      </c>
      <c r="B61" s="77" t="s">
        <v>982</v>
      </c>
      <c r="C61" s="77" t="s">
        <v>148</v>
      </c>
      <c r="D61" s="75" t="s">
        <v>94</v>
      </c>
      <c r="E61" s="76" t="n">
        <v>45702</v>
      </c>
      <c r="F61" s="76" t="n">
        <v>46190</v>
      </c>
      <c r="G61" s="87" t="n">
        <f aca="true">IFERROR(TODAY()-F61,0)</f>
        <v>11</v>
      </c>
      <c r="H61" s="112" t="str">
        <f aca="false">IF(G61&gt;7,"🔴 CRITICAL — Call Immediately",IF(G61&gt;0,"🟠 OVERDUE — Call Today",IF(G61=0,"🟡 DUE TODAY — Schedule Now",IF(G61&gt;-3,"🔵 Due This Week","🟢 Upcoming — On Track"))))</f>
        <v>🔴 CRITICAL — Call Immediately</v>
      </c>
    </row>
    <row r="62" customFormat="false" ht="15" hidden="false" customHeight="true" outlineLevel="0" collapsed="false">
      <c r="A62" s="70" t="s">
        <v>989</v>
      </c>
      <c r="B62" s="72" t="s">
        <v>990</v>
      </c>
      <c r="C62" s="72" t="s">
        <v>170</v>
      </c>
      <c r="D62" s="70" t="s">
        <v>161</v>
      </c>
      <c r="E62" s="71" t="n">
        <v>45682</v>
      </c>
      <c r="F62" s="71" t="n">
        <v>46190</v>
      </c>
      <c r="G62" s="88" t="n">
        <f aca="true">IFERROR(TODAY()-F62,0)</f>
        <v>11</v>
      </c>
      <c r="H62" s="110" t="str">
        <f aca="false">IF(G62&gt;7,"🔴 CRITICAL — Call Immediately",IF(G62&gt;0,"🟠 OVERDUE — Call Today",IF(G62=0,"🟡 DUE TODAY — Schedule Now",IF(G62&gt;-3,"🔵 Due This Week","🟢 Upcoming — On Track"))))</f>
        <v>🔴 CRITICAL — Call Immediately</v>
      </c>
    </row>
    <row r="63" customFormat="false" ht="15" hidden="false" customHeight="true" outlineLevel="0" collapsed="false">
      <c r="A63" s="75" t="s">
        <v>1060</v>
      </c>
      <c r="B63" s="77" t="s">
        <v>1061</v>
      </c>
      <c r="C63" s="77" t="s">
        <v>148</v>
      </c>
      <c r="D63" s="75" t="s">
        <v>161</v>
      </c>
      <c r="E63" s="76" t="n">
        <v>45457</v>
      </c>
      <c r="F63" s="76" t="n">
        <v>46190</v>
      </c>
      <c r="G63" s="87" t="n">
        <f aca="true">IFERROR(TODAY()-F63,0)</f>
        <v>11</v>
      </c>
      <c r="H63" s="112" t="str">
        <f aca="false">IF(G63&gt;7,"🔴 CRITICAL — Call Immediately",IF(G63&gt;0,"🟠 OVERDUE — Call Today",IF(G63=0,"🟡 DUE TODAY — Schedule Now",IF(G63&gt;-3,"🔵 Due This Week","🟢 Upcoming — On Track"))))</f>
        <v>🔴 CRITICAL — Call Immediately</v>
      </c>
    </row>
    <row r="64" customFormat="false" ht="15" hidden="false" customHeight="true" outlineLevel="0" collapsed="false">
      <c r="A64" s="70" t="s">
        <v>1066</v>
      </c>
      <c r="B64" s="72" t="s">
        <v>1067</v>
      </c>
      <c r="C64" s="72" t="s">
        <v>209</v>
      </c>
      <c r="D64" s="70" t="s">
        <v>104</v>
      </c>
      <c r="E64" s="71" t="n">
        <v>45390</v>
      </c>
      <c r="F64" s="71" t="n">
        <v>46190</v>
      </c>
      <c r="G64" s="88" t="n">
        <f aca="true">IFERROR(TODAY()-F64,0)</f>
        <v>11</v>
      </c>
      <c r="H64" s="110" t="str">
        <f aca="false">IF(G64&gt;7,"🔴 CRITICAL — Call Immediately",IF(G64&gt;0,"🟠 OVERDUE — Call Today",IF(G64=0,"🟡 DUE TODAY — Schedule Now",IF(G64&gt;-3,"🔵 Due This Week","🟢 Upcoming — On Track"))))</f>
        <v>🔴 CRITICAL — Call Immediately</v>
      </c>
    </row>
    <row r="65" customFormat="false" ht="15" hidden="false" customHeight="true" outlineLevel="0" collapsed="false">
      <c r="A65" s="75" t="s">
        <v>1075</v>
      </c>
      <c r="B65" s="77" t="s">
        <v>1076</v>
      </c>
      <c r="C65" s="77" t="s">
        <v>93</v>
      </c>
      <c r="D65" s="75" t="s">
        <v>143</v>
      </c>
      <c r="E65" s="76" t="n">
        <v>45560</v>
      </c>
      <c r="F65" s="76" t="n">
        <v>46190</v>
      </c>
      <c r="G65" s="87" t="n">
        <f aca="true">IFERROR(TODAY()-F65,0)</f>
        <v>11</v>
      </c>
      <c r="H65" s="112" t="str">
        <f aca="false">IF(G65&gt;7,"🔴 CRITICAL — Call Immediately",IF(G65&gt;0,"🟠 OVERDUE — Call Today",IF(G65=0,"🟡 DUE TODAY — Schedule Now",IF(G65&gt;-3,"🔵 Due This Week","🟢 Upcoming — On Track"))))</f>
        <v>🔴 CRITICAL — Call Immediately</v>
      </c>
    </row>
    <row r="66" customFormat="false" ht="15" hidden="false" customHeight="true" outlineLevel="0" collapsed="false">
      <c r="A66" s="70" t="s">
        <v>1337</v>
      </c>
      <c r="B66" s="72" t="s">
        <v>889</v>
      </c>
      <c r="C66" s="72" t="s">
        <v>112</v>
      </c>
      <c r="D66" s="70" t="s">
        <v>104</v>
      </c>
      <c r="E66" s="71" t="n">
        <v>45411</v>
      </c>
      <c r="F66" s="71" t="n">
        <v>46190</v>
      </c>
      <c r="G66" s="88" t="n">
        <f aca="true">IFERROR(TODAY()-F66,0)</f>
        <v>11</v>
      </c>
      <c r="H66" s="110" t="str">
        <f aca="false">IF(G66&gt;7,"🔴 CRITICAL — Call Immediately",IF(G66&gt;0,"🟠 OVERDUE — Call Today",IF(G66=0,"🟡 DUE TODAY — Schedule Now",IF(G66&gt;-3,"🔵 Due This Week","🟢 Upcoming — On Track"))))</f>
        <v>🔴 CRITICAL — Call Immediately</v>
      </c>
    </row>
    <row r="67" customFormat="false" ht="15" hidden="false" customHeight="true" outlineLevel="0" collapsed="false">
      <c r="A67" s="75" t="s">
        <v>1357</v>
      </c>
      <c r="B67" s="77" t="s">
        <v>1283</v>
      </c>
      <c r="C67" s="77" t="s">
        <v>112</v>
      </c>
      <c r="D67" s="75" t="s">
        <v>104</v>
      </c>
      <c r="E67" s="76" t="n">
        <v>45714</v>
      </c>
      <c r="F67" s="76" t="n">
        <v>46190</v>
      </c>
      <c r="G67" s="87" t="n">
        <f aca="true">IFERROR(TODAY()-F67,0)</f>
        <v>11</v>
      </c>
      <c r="H67" s="112" t="str">
        <f aca="false">IF(G67&gt;7,"🔴 CRITICAL — Call Immediately",IF(G67&gt;0,"🟠 OVERDUE — Call Today",IF(G67=0,"🟡 DUE TODAY — Schedule Now",IF(G67&gt;-3,"🔵 Due This Week","🟢 Upcoming — On Track"))))</f>
        <v>🔴 CRITICAL — Call Immediately</v>
      </c>
    </row>
    <row r="68" customFormat="false" ht="15" hidden="false" customHeight="true" outlineLevel="0" collapsed="false">
      <c r="A68" s="70" t="s">
        <v>1401</v>
      </c>
      <c r="B68" s="72" t="s">
        <v>942</v>
      </c>
      <c r="C68" s="72" t="s">
        <v>191</v>
      </c>
      <c r="D68" s="70" t="s">
        <v>104</v>
      </c>
      <c r="E68" s="71" t="n">
        <v>45678</v>
      </c>
      <c r="F68" s="71" t="n">
        <v>46190</v>
      </c>
      <c r="G68" s="88" t="n">
        <f aca="true">IFERROR(TODAY()-F68,0)</f>
        <v>11</v>
      </c>
      <c r="H68" s="110" t="str">
        <f aca="false">IF(G68&gt;7,"🔴 CRITICAL — Call Immediately",IF(G68&gt;0,"🟠 OVERDUE — Call Today",IF(G68=0,"🟡 DUE TODAY — Schedule Now",IF(G68&gt;-3,"🔵 Due This Week","🟢 Upcoming — On Track"))))</f>
        <v>🔴 CRITICAL — Call Immediately</v>
      </c>
    </row>
    <row r="69" customFormat="false" ht="15" hidden="false" customHeight="true" outlineLevel="0" collapsed="false">
      <c r="A69" s="75" t="s">
        <v>1460</v>
      </c>
      <c r="B69" s="77" t="s">
        <v>1461</v>
      </c>
      <c r="C69" s="77" t="s">
        <v>170</v>
      </c>
      <c r="D69" s="75" t="s">
        <v>94</v>
      </c>
      <c r="E69" s="76" t="n">
        <v>45447</v>
      </c>
      <c r="F69" s="76" t="n">
        <v>46190</v>
      </c>
      <c r="G69" s="87" t="n">
        <f aca="true">IFERROR(TODAY()-F69,0)</f>
        <v>11</v>
      </c>
      <c r="H69" s="112" t="str">
        <f aca="false">IF(G69&gt;7,"🔴 CRITICAL — Call Immediately",IF(G69&gt;0,"🟠 OVERDUE — Call Today",IF(G69=0,"🟡 DUE TODAY — Schedule Now",IF(G69&gt;-3,"🔵 Due This Week","🟢 Upcoming — On Track"))))</f>
        <v>🔴 CRITICAL — Call Immediately</v>
      </c>
    </row>
    <row r="70" customFormat="false" ht="15" hidden="false" customHeight="true" outlineLevel="0" collapsed="false">
      <c r="A70" s="70" t="s">
        <v>1504</v>
      </c>
      <c r="B70" s="72" t="s">
        <v>1505</v>
      </c>
      <c r="C70" s="72" t="s">
        <v>112</v>
      </c>
      <c r="D70" s="70" t="s">
        <v>104</v>
      </c>
      <c r="E70" s="71" t="n">
        <v>45539</v>
      </c>
      <c r="F70" s="71" t="n">
        <v>46190</v>
      </c>
      <c r="G70" s="88" t="n">
        <f aca="true">IFERROR(TODAY()-F70,0)</f>
        <v>11</v>
      </c>
      <c r="H70" s="110" t="str">
        <f aca="false">IF(G70&gt;7,"🔴 CRITICAL — Call Immediately",IF(G70&gt;0,"🟠 OVERDUE — Call Today",IF(G70=0,"🟡 DUE TODAY — Schedule Now",IF(G70&gt;-3,"🔵 Due This Week","🟢 Upcoming — On Track"))))</f>
        <v>🔴 CRITICAL — Call Immediately</v>
      </c>
    </row>
    <row r="71" customFormat="false" ht="15" hidden="false" customHeight="true" outlineLevel="0" collapsed="false">
      <c r="A71" s="75" t="s">
        <v>138</v>
      </c>
      <c r="B71" s="77" t="s">
        <v>139</v>
      </c>
      <c r="C71" s="77" t="s">
        <v>142</v>
      </c>
      <c r="D71" s="75" t="s">
        <v>143</v>
      </c>
      <c r="E71" s="76" t="n">
        <v>45716</v>
      </c>
      <c r="F71" s="76" t="n">
        <v>46191</v>
      </c>
      <c r="G71" s="87" t="n">
        <f aca="true">IFERROR(TODAY()-F71,0)</f>
        <v>10</v>
      </c>
      <c r="H71" s="112" t="str">
        <f aca="false">IF(G71&gt;7,"🔴 CRITICAL — Call Immediately",IF(G71&gt;0,"🟠 OVERDUE — Call Today",IF(G71=0,"🟡 DUE TODAY — Schedule Now",IF(G71&gt;-3,"🔵 Due This Week","🟢 Upcoming — On Track"))))</f>
        <v>🔴 CRITICAL — Call Immediately</v>
      </c>
    </row>
    <row r="72" customFormat="false" ht="15" hidden="false" customHeight="true" outlineLevel="0" collapsed="false">
      <c r="A72" s="70" t="s">
        <v>196</v>
      </c>
      <c r="B72" s="72" t="s">
        <v>197</v>
      </c>
      <c r="C72" s="72" t="s">
        <v>142</v>
      </c>
      <c r="D72" s="70" t="s">
        <v>104</v>
      </c>
      <c r="E72" s="71" t="n">
        <v>45671</v>
      </c>
      <c r="F72" s="71" t="n">
        <v>46191</v>
      </c>
      <c r="G72" s="88" t="n">
        <f aca="true">IFERROR(TODAY()-F72,0)</f>
        <v>10</v>
      </c>
      <c r="H72" s="110" t="str">
        <f aca="false">IF(G72&gt;7,"🔴 CRITICAL — Call Immediately",IF(G72&gt;0,"🟠 OVERDUE — Call Today",IF(G72=0,"🟡 DUE TODAY — Schedule Now",IF(G72&gt;-3,"🔵 Due This Week","🟢 Upcoming — On Track"))))</f>
        <v>🔴 CRITICAL — Call Immediately</v>
      </c>
    </row>
    <row r="73" customFormat="false" ht="15" hidden="false" customHeight="true" outlineLevel="0" collapsed="false">
      <c r="A73" s="75" t="s">
        <v>268</v>
      </c>
      <c r="B73" s="77" t="s">
        <v>269</v>
      </c>
      <c r="C73" s="77" t="s">
        <v>112</v>
      </c>
      <c r="D73" s="75" t="s">
        <v>104</v>
      </c>
      <c r="E73" s="76" t="n">
        <v>45660</v>
      </c>
      <c r="F73" s="76" t="n">
        <v>46191</v>
      </c>
      <c r="G73" s="87" t="n">
        <f aca="true">IFERROR(TODAY()-F73,0)</f>
        <v>10</v>
      </c>
      <c r="H73" s="112" t="str">
        <f aca="false">IF(G73&gt;7,"🔴 CRITICAL — Call Immediately",IF(G73&gt;0,"🟠 OVERDUE — Call Today",IF(G73=0,"🟡 DUE TODAY — Schedule Now",IF(G73&gt;-3,"🔵 Due This Week","🟢 Upcoming — On Track"))))</f>
        <v>🔴 CRITICAL — Call Immediately</v>
      </c>
    </row>
    <row r="74" customFormat="false" ht="15" hidden="false" customHeight="true" outlineLevel="0" collapsed="false">
      <c r="A74" s="70" t="s">
        <v>504</v>
      </c>
      <c r="B74" s="72" t="s">
        <v>505</v>
      </c>
      <c r="C74" s="72" t="s">
        <v>209</v>
      </c>
      <c r="D74" s="70" t="s">
        <v>104</v>
      </c>
      <c r="E74" s="71" t="n">
        <v>45722</v>
      </c>
      <c r="F74" s="71" t="n">
        <v>46191</v>
      </c>
      <c r="G74" s="88" t="n">
        <f aca="true">IFERROR(TODAY()-F74,0)</f>
        <v>10</v>
      </c>
      <c r="H74" s="110" t="str">
        <f aca="false">IF(G74&gt;7,"🔴 CRITICAL — Call Immediately",IF(G74&gt;0,"🟠 OVERDUE — Call Today",IF(G74=0,"🟡 DUE TODAY — Schedule Now",IF(G74&gt;-3,"🔵 Due This Week","🟢 Upcoming — On Track"))))</f>
        <v>🔴 CRITICAL — Call Immediately</v>
      </c>
    </row>
    <row r="75" customFormat="false" ht="15" hidden="false" customHeight="true" outlineLevel="0" collapsed="false">
      <c r="A75" s="75" t="s">
        <v>561</v>
      </c>
      <c r="B75" s="77" t="s">
        <v>562</v>
      </c>
      <c r="C75" s="77" t="s">
        <v>191</v>
      </c>
      <c r="D75" s="75" t="s">
        <v>143</v>
      </c>
      <c r="E75" s="76" t="n">
        <v>45465</v>
      </c>
      <c r="F75" s="76" t="n">
        <v>46191</v>
      </c>
      <c r="G75" s="87" t="n">
        <f aca="true">IFERROR(TODAY()-F75,0)</f>
        <v>10</v>
      </c>
      <c r="H75" s="112" t="str">
        <f aca="false">IF(G75&gt;7,"🔴 CRITICAL — Call Immediately",IF(G75&gt;0,"🟠 OVERDUE — Call Today",IF(G75=0,"🟡 DUE TODAY — Schedule Now",IF(G75&gt;-3,"🔵 Due This Week","🟢 Upcoming — On Track"))))</f>
        <v>🔴 CRITICAL — Call Immediately</v>
      </c>
    </row>
    <row r="76" customFormat="false" ht="15" hidden="false" customHeight="true" outlineLevel="0" collapsed="false">
      <c r="A76" s="70" t="s">
        <v>626</v>
      </c>
      <c r="B76" s="72" t="s">
        <v>627</v>
      </c>
      <c r="C76" s="72" t="s">
        <v>103</v>
      </c>
      <c r="D76" s="70" t="s">
        <v>94</v>
      </c>
      <c r="E76" s="71" t="n">
        <v>45704</v>
      </c>
      <c r="F76" s="71" t="n">
        <v>46191</v>
      </c>
      <c r="G76" s="88" t="n">
        <f aca="true">IFERROR(TODAY()-F76,0)</f>
        <v>10</v>
      </c>
      <c r="H76" s="110" t="str">
        <f aca="false">IF(G76&gt;7,"🔴 CRITICAL — Call Immediately",IF(G76&gt;0,"🟠 OVERDUE — Call Today",IF(G76=0,"🟡 DUE TODAY — Schedule Now",IF(G76&gt;-3,"🔵 Due This Week","🟢 Upcoming — On Track"))))</f>
        <v>🔴 CRITICAL — Call Immediately</v>
      </c>
    </row>
    <row r="77" customFormat="false" ht="15" hidden="false" customHeight="true" outlineLevel="0" collapsed="false">
      <c r="A77" s="75" t="s">
        <v>685</v>
      </c>
      <c r="B77" s="77" t="s">
        <v>686</v>
      </c>
      <c r="C77" s="77" t="s">
        <v>191</v>
      </c>
      <c r="D77" s="75" t="s">
        <v>143</v>
      </c>
      <c r="E77" s="76" t="n">
        <v>45726</v>
      </c>
      <c r="F77" s="76" t="n">
        <v>46191</v>
      </c>
      <c r="G77" s="87" t="n">
        <f aca="true">IFERROR(TODAY()-F77,0)</f>
        <v>10</v>
      </c>
      <c r="H77" s="112" t="str">
        <f aca="false">IF(G77&gt;7,"🔴 CRITICAL — Call Immediately",IF(G77&gt;0,"🟠 OVERDUE — Call Today",IF(G77=0,"🟡 DUE TODAY — Schedule Now",IF(G77&gt;-3,"🔵 Due This Week","🟢 Upcoming — On Track"))))</f>
        <v>🔴 CRITICAL — Call Immediately</v>
      </c>
    </row>
    <row r="78" customFormat="false" ht="15" hidden="false" customHeight="true" outlineLevel="0" collapsed="false">
      <c r="A78" s="70" t="s">
        <v>757</v>
      </c>
      <c r="B78" s="72" t="s">
        <v>758</v>
      </c>
      <c r="C78" s="72" t="s">
        <v>112</v>
      </c>
      <c r="D78" s="70" t="s">
        <v>143</v>
      </c>
      <c r="E78" s="71" t="n">
        <v>45522</v>
      </c>
      <c r="F78" s="71" t="n">
        <v>46191</v>
      </c>
      <c r="G78" s="88" t="n">
        <f aca="true">IFERROR(TODAY()-F78,0)</f>
        <v>10</v>
      </c>
      <c r="H78" s="110" t="str">
        <f aca="false">IF(G78&gt;7,"🔴 CRITICAL — Call Immediately",IF(G78&gt;0,"🟠 OVERDUE — Call Today",IF(G78=0,"🟡 DUE TODAY — Schedule Now",IF(G78&gt;-3,"🔵 Due This Week","🟢 Upcoming — On Track"))))</f>
        <v>🔴 CRITICAL — Call Immediately</v>
      </c>
    </row>
    <row r="79" customFormat="false" ht="15" hidden="false" customHeight="true" outlineLevel="0" collapsed="false">
      <c r="A79" s="75" t="s">
        <v>829</v>
      </c>
      <c r="B79" s="77" t="s">
        <v>830</v>
      </c>
      <c r="C79" s="77" t="s">
        <v>148</v>
      </c>
      <c r="D79" s="75" t="s">
        <v>104</v>
      </c>
      <c r="E79" s="76" t="n">
        <v>45647</v>
      </c>
      <c r="F79" s="76" t="n">
        <v>46191</v>
      </c>
      <c r="G79" s="87" t="n">
        <f aca="true">IFERROR(TODAY()-F79,0)</f>
        <v>10</v>
      </c>
      <c r="H79" s="112" t="str">
        <f aca="false">IF(G79&gt;7,"🔴 CRITICAL — Call Immediately",IF(G79&gt;0,"🟠 OVERDUE — Call Today",IF(G79=0,"🟡 DUE TODAY — Schedule Now",IF(G79&gt;-3,"🔵 Due This Week","🟢 Upcoming — On Track"))))</f>
        <v>🔴 CRITICAL — Call Immediately</v>
      </c>
    </row>
    <row r="80" customFormat="false" ht="15" hidden="false" customHeight="true" outlineLevel="0" collapsed="false">
      <c r="A80" s="70" t="s">
        <v>851</v>
      </c>
      <c r="B80" s="72" t="s">
        <v>852</v>
      </c>
      <c r="C80" s="72" t="s">
        <v>93</v>
      </c>
      <c r="D80" s="70" t="s">
        <v>120</v>
      </c>
      <c r="E80" s="71" t="n">
        <v>45574</v>
      </c>
      <c r="F80" s="71" t="n">
        <v>46191</v>
      </c>
      <c r="G80" s="88" t="n">
        <f aca="true">IFERROR(TODAY()-F80,0)</f>
        <v>10</v>
      </c>
      <c r="H80" s="110" t="str">
        <f aca="false">IF(G80&gt;7,"🔴 CRITICAL — Call Immediately",IF(G80&gt;0,"🟠 OVERDUE — Call Today",IF(G80=0,"🟡 DUE TODAY — Schedule Now",IF(G80&gt;-3,"🔵 Due This Week","🟢 Upcoming — On Track"))))</f>
        <v>🔴 CRITICAL — Call Immediately</v>
      </c>
    </row>
    <row r="81" customFormat="false" ht="15" hidden="false" customHeight="true" outlineLevel="0" collapsed="false">
      <c r="A81" s="75" t="s">
        <v>856</v>
      </c>
      <c r="B81" s="77" t="s">
        <v>857</v>
      </c>
      <c r="C81" s="77" t="s">
        <v>191</v>
      </c>
      <c r="D81" s="75" t="s">
        <v>143</v>
      </c>
      <c r="E81" s="76" t="n">
        <v>45605</v>
      </c>
      <c r="F81" s="76" t="n">
        <v>46191</v>
      </c>
      <c r="G81" s="87" t="n">
        <f aca="true">IFERROR(TODAY()-F81,0)</f>
        <v>10</v>
      </c>
      <c r="H81" s="112" t="str">
        <f aca="false">IF(G81&gt;7,"🔴 CRITICAL — Call Immediately",IF(G81&gt;0,"🟠 OVERDUE — Call Today",IF(G81=0,"🟡 DUE TODAY — Schedule Now",IF(G81&gt;-3,"🔵 Due This Week","🟢 Upcoming — On Track"))))</f>
        <v>🔴 CRITICAL — Call Immediately</v>
      </c>
    </row>
    <row r="82" customFormat="false" ht="15" hidden="false" customHeight="true" outlineLevel="0" collapsed="false">
      <c r="A82" s="70" t="s">
        <v>916</v>
      </c>
      <c r="B82" s="72" t="s">
        <v>917</v>
      </c>
      <c r="C82" s="72" t="s">
        <v>170</v>
      </c>
      <c r="D82" s="70" t="s">
        <v>120</v>
      </c>
      <c r="E82" s="71" t="n">
        <v>45416</v>
      </c>
      <c r="F82" s="71" t="n">
        <v>46191</v>
      </c>
      <c r="G82" s="88" t="n">
        <f aca="true">IFERROR(TODAY()-F82,0)</f>
        <v>10</v>
      </c>
      <c r="H82" s="110" t="str">
        <f aca="false">IF(G82&gt;7,"🔴 CRITICAL — Call Immediately",IF(G82&gt;0,"🟠 OVERDUE — Call Today",IF(G82=0,"🟡 DUE TODAY — Schedule Now",IF(G82&gt;-3,"🔵 Due This Week","🟢 Upcoming — On Track"))))</f>
        <v>🔴 CRITICAL — Call Immediately</v>
      </c>
    </row>
    <row r="83" customFormat="false" ht="15" hidden="false" customHeight="true" outlineLevel="0" collapsed="false">
      <c r="A83" s="75" t="s">
        <v>1047</v>
      </c>
      <c r="B83" s="77" t="s">
        <v>1048</v>
      </c>
      <c r="C83" s="77" t="s">
        <v>124</v>
      </c>
      <c r="D83" s="75" t="s">
        <v>94</v>
      </c>
      <c r="E83" s="76" t="n">
        <v>45562</v>
      </c>
      <c r="F83" s="76" t="n">
        <v>46191</v>
      </c>
      <c r="G83" s="87" t="n">
        <f aca="true">IFERROR(TODAY()-F83,0)</f>
        <v>10</v>
      </c>
      <c r="H83" s="112" t="str">
        <f aca="false">IF(G83&gt;7,"🔴 CRITICAL — Call Immediately",IF(G83&gt;0,"🟠 OVERDUE — Call Today",IF(G83=0,"🟡 DUE TODAY — Schedule Now",IF(G83&gt;-3,"🔵 Due This Week","🟢 Upcoming — On Track"))))</f>
        <v>🔴 CRITICAL — Call Immediately</v>
      </c>
    </row>
    <row r="84" customFormat="false" ht="15" hidden="false" customHeight="true" outlineLevel="0" collapsed="false">
      <c r="A84" s="70" t="s">
        <v>1072</v>
      </c>
      <c r="B84" s="72" t="s">
        <v>1073</v>
      </c>
      <c r="C84" s="72" t="s">
        <v>93</v>
      </c>
      <c r="D84" s="70" t="s">
        <v>120</v>
      </c>
      <c r="E84" s="71" t="n">
        <v>45407</v>
      </c>
      <c r="F84" s="71" t="n">
        <v>46191</v>
      </c>
      <c r="G84" s="88" t="n">
        <f aca="true">IFERROR(TODAY()-F84,0)</f>
        <v>10</v>
      </c>
      <c r="H84" s="110" t="str">
        <f aca="false">IF(G84&gt;7,"🔴 CRITICAL — Call Immediately",IF(G84&gt;0,"🟠 OVERDUE — Call Today",IF(G84=0,"🟡 DUE TODAY — Schedule Now",IF(G84&gt;-3,"🔵 Due This Week","🟢 Upcoming — On Track"))))</f>
        <v>🔴 CRITICAL — Call Immediately</v>
      </c>
    </row>
    <row r="85" customFormat="false" ht="15" hidden="false" customHeight="true" outlineLevel="0" collapsed="false">
      <c r="A85" s="75" t="s">
        <v>1086</v>
      </c>
      <c r="B85" s="77" t="s">
        <v>1087</v>
      </c>
      <c r="C85" s="77" t="s">
        <v>124</v>
      </c>
      <c r="D85" s="75" t="s">
        <v>161</v>
      </c>
      <c r="E85" s="76" t="n">
        <v>45726</v>
      </c>
      <c r="F85" s="76" t="n">
        <v>46191</v>
      </c>
      <c r="G85" s="87" t="n">
        <f aca="true">IFERROR(TODAY()-F85,0)</f>
        <v>10</v>
      </c>
      <c r="H85" s="112" t="str">
        <f aca="false">IF(G85&gt;7,"🔴 CRITICAL — Call Immediately",IF(G85&gt;0,"🟠 OVERDUE — Call Today",IF(G85=0,"🟡 DUE TODAY — Schedule Now",IF(G85&gt;-3,"🔵 Due This Week","🟢 Upcoming — On Track"))))</f>
        <v>🔴 CRITICAL — Call Immediately</v>
      </c>
    </row>
    <row r="86" customFormat="false" ht="15" hidden="false" customHeight="true" outlineLevel="0" collapsed="false">
      <c r="A86" s="70" t="s">
        <v>1571</v>
      </c>
      <c r="B86" s="72" t="s">
        <v>1572</v>
      </c>
      <c r="C86" s="72" t="s">
        <v>103</v>
      </c>
      <c r="D86" s="70" t="s">
        <v>120</v>
      </c>
      <c r="E86" s="71" t="n">
        <v>45528</v>
      </c>
      <c r="F86" s="71" t="n">
        <v>46191</v>
      </c>
      <c r="G86" s="88" t="n">
        <f aca="true">IFERROR(TODAY()-F86,0)</f>
        <v>10</v>
      </c>
      <c r="H86" s="110" t="str">
        <f aca="false">IF(G86&gt;7,"🔴 CRITICAL — Call Immediately",IF(G86&gt;0,"🟠 OVERDUE — Call Today",IF(G86=0,"🟡 DUE TODAY — Schedule Now",IF(G86&gt;-3,"🔵 Due This Week","🟢 Upcoming — On Track"))))</f>
        <v>🔴 CRITICAL — Call Immediately</v>
      </c>
    </row>
    <row r="87" customFormat="false" ht="15" hidden="false" customHeight="true" outlineLevel="0" collapsed="false">
      <c r="A87" s="75" t="s">
        <v>156</v>
      </c>
      <c r="B87" s="77" t="s">
        <v>157</v>
      </c>
      <c r="C87" s="77" t="s">
        <v>103</v>
      </c>
      <c r="D87" s="75" t="s">
        <v>161</v>
      </c>
      <c r="E87" s="76" t="n">
        <v>45464</v>
      </c>
      <c r="F87" s="76" t="n">
        <v>46192</v>
      </c>
      <c r="G87" s="87" t="n">
        <f aca="true">IFERROR(TODAY()-F87,0)</f>
        <v>9</v>
      </c>
      <c r="H87" s="112" t="str">
        <f aca="false">IF(G87&gt;7,"🔴 CRITICAL — Call Immediately",IF(G87&gt;0,"🟠 OVERDUE — Call Today",IF(G87=0,"🟡 DUE TODAY — Schedule Now",IF(G87&gt;-3,"🔵 Due This Week","🟢 Upcoming — On Track"))))</f>
        <v>🔴 CRITICAL — Call Immediately</v>
      </c>
    </row>
    <row r="88" customFormat="false" ht="15" hidden="false" customHeight="true" outlineLevel="0" collapsed="false">
      <c r="A88" s="70" t="s">
        <v>199</v>
      </c>
      <c r="B88" s="72" t="s">
        <v>200</v>
      </c>
      <c r="C88" s="72" t="s">
        <v>178</v>
      </c>
      <c r="D88" s="70" t="s">
        <v>161</v>
      </c>
      <c r="E88" s="71" t="n">
        <v>45645</v>
      </c>
      <c r="F88" s="71" t="n">
        <v>46192</v>
      </c>
      <c r="G88" s="88" t="n">
        <f aca="true">IFERROR(TODAY()-F88,0)</f>
        <v>9</v>
      </c>
      <c r="H88" s="110" t="str">
        <f aca="false">IF(G88&gt;7,"🔴 CRITICAL — Call Immediately",IF(G88&gt;0,"🟠 OVERDUE — Call Today",IF(G88=0,"🟡 DUE TODAY — Schedule Now",IF(G88&gt;-3,"🔵 Due This Week","🟢 Upcoming — On Track"))))</f>
        <v>🔴 CRITICAL — Call Immediately</v>
      </c>
    </row>
    <row r="89" customFormat="false" ht="15" hidden="false" customHeight="true" outlineLevel="0" collapsed="false">
      <c r="A89" s="75" t="s">
        <v>331</v>
      </c>
      <c r="B89" s="77" t="s">
        <v>332</v>
      </c>
      <c r="C89" s="77" t="s">
        <v>112</v>
      </c>
      <c r="D89" s="75" t="s">
        <v>94</v>
      </c>
      <c r="E89" s="76" t="n">
        <v>45465</v>
      </c>
      <c r="F89" s="76" t="n">
        <v>46192</v>
      </c>
      <c r="G89" s="87" t="n">
        <f aca="true">IFERROR(TODAY()-F89,0)</f>
        <v>9</v>
      </c>
      <c r="H89" s="112" t="str">
        <f aca="false">IF(G89&gt;7,"🔴 CRITICAL — Call Immediately",IF(G89&gt;0,"🟠 OVERDUE — Call Today",IF(G89=0,"🟡 DUE TODAY — Schedule Now",IF(G89&gt;-3,"🔵 Due This Week","🟢 Upcoming — On Track"))))</f>
        <v>🔴 CRITICAL — Call Immediately</v>
      </c>
    </row>
    <row r="90" customFormat="false" ht="15" hidden="false" customHeight="true" outlineLevel="0" collapsed="false">
      <c r="A90" s="70" t="s">
        <v>372</v>
      </c>
      <c r="B90" s="72" t="s">
        <v>373</v>
      </c>
      <c r="C90" s="72" t="s">
        <v>142</v>
      </c>
      <c r="D90" s="70" t="s">
        <v>120</v>
      </c>
      <c r="E90" s="71" t="n">
        <v>45617</v>
      </c>
      <c r="F90" s="71" t="n">
        <v>46192</v>
      </c>
      <c r="G90" s="88" t="n">
        <f aca="true">IFERROR(TODAY()-F90,0)</f>
        <v>9</v>
      </c>
      <c r="H90" s="110" t="str">
        <f aca="false">IF(G90&gt;7,"🔴 CRITICAL — Call Immediately",IF(G90&gt;0,"🟠 OVERDUE — Call Today",IF(G90=0,"🟡 DUE TODAY — Schedule Now",IF(G90&gt;-3,"🔵 Due This Week","🟢 Upcoming — On Track"))))</f>
        <v>🔴 CRITICAL — Call Immediately</v>
      </c>
    </row>
    <row r="91" customFormat="false" ht="15" hidden="false" customHeight="true" outlineLevel="0" collapsed="false">
      <c r="A91" s="75" t="s">
        <v>536</v>
      </c>
      <c r="B91" s="77" t="s">
        <v>537</v>
      </c>
      <c r="C91" s="77" t="s">
        <v>148</v>
      </c>
      <c r="D91" s="75" t="s">
        <v>143</v>
      </c>
      <c r="E91" s="76" t="n">
        <v>45679</v>
      </c>
      <c r="F91" s="76" t="n">
        <v>46192</v>
      </c>
      <c r="G91" s="87" t="n">
        <f aca="true">IFERROR(TODAY()-F91,0)</f>
        <v>9</v>
      </c>
      <c r="H91" s="112" t="str">
        <f aca="false">IF(G91&gt;7,"🔴 CRITICAL — Call Immediately",IF(G91&gt;0,"🟠 OVERDUE — Call Today",IF(G91=0,"🟡 DUE TODAY — Schedule Now",IF(G91&gt;-3,"🔵 Due This Week","🟢 Upcoming — On Track"))))</f>
        <v>🔴 CRITICAL — Call Immediately</v>
      </c>
    </row>
    <row r="92" customFormat="false" ht="15" hidden="false" customHeight="true" outlineLevel="0" collapsed="false">
      <c r="A92" s="70" t="s">
        <v>558</v>
      </c>
      <c r="B92" s="72" t="s">
        <v>559</v>
      </c>
      <c r="C92" s="72" t="s">
        <v>112</v>
      </c>
      <c r="D92" s="70" t="s">
        <v>104</v>
      </c>
      <c r="E92" s="71" t="n">
        <v>45695</v>
      </c>
      <c r="F92" s="71" t="n">
        <v>46192</v>
      </c>
      <c r="G92" s="88" t="n">
        <f aca="true">IFERROR(TODAY()-F92,0)</f>
        <v>9</v>
      </c>
      <c r="H92" s="110" t="str">
        <f aca="false">IF(G92&gt;7,"🔴 CRITICAL — Call Immediately",IF(G92&gt;0,"🟠 OVERDUE — Call Today",IF(G92=0,"🟡 DUE TODAY — Schedule Now",IF(G92&gt;-3,"🔵 Due This Week","🟢 Upcoming — On Track"))))</f>
        <v>🔴 CRITICAL — Call Immediately</v>
      </c>
    </row>
    <row r="93" customFormat="false" ht="15" hidden="false" customHeight="true" outlineLevel="0" collapsed="false">
      <c r="A93" s="75" t="s">
        <v>763</v>
      </c>
      <c r="B93" s="77" t="s">
        <v>764</v>
      </c>
      <c r="C93" s="77" t="s">
        <v>124</v>
      </c>
      <c r="D93" s="75" t="s">
        <v>161</v>
      </c>
      <c r="E93" s="76" t="n">
        <v>45473</v>
      </c>
      <c r="F93" s="76" t="n">
        <v>46192</v>
      </c>
      <c r="G93" s="87" t="n">
        <f aca="true">IFERROR(TODAY()-F93,0)</f>
        <v>9</v>
      </c>
      <c r="H93" s="112" t="str">
        <f aca="false">IF(G93&gt;7,"🔴 CRITICAL — Call Immediately",IF(G93&gt;0,"🟠 OVERDUE — Call Today",IF(G93=0,"🟡 DUE TODAY — Schedule Now",IF(G93&gt;-3,"🔵 Due This Week","🟢 Upcoming — On Track"))))</f>
        <v>🔴 CRITICAL — Call Immediately</v>
      </c>
    </row>
    <row r="94" customFormat="false" ht="15" hidden="false" customHeight="true" outlineLevel="0" collapsed="false">
      <c r="A94" s="70" t="s">
        <v>815</v>
      </c>
      <c r="B94" s="72" t="s">
        <v>816</v>
      </c>
      <c r="C94" s="72" t="s">
        <v>191</v>
      </c>
      <c r="D94" s="70" t="s">
        <v>94</v>
      </c>
      <c r="E94" s="71" t="n">
        <v>45614</v>
      </c>
      <c r="F94" s="71" t="n">
        <v>46192</v>
      </c>
      <c r="G94" s="88" t="n">
        <f aca="true">IFERROR(TODAY()-F94,0)</f>
        <v>9</v>
      </c>
      <c r="H94" s="110" t="str">
        <f aca="false">IF(G94&gt;7,"🔴 CRITICAL — Call Immediately",IF(G94&gt;0,"🟠 OVERDUE — Call Today",IF(G94=0,"🟡 DUE TODAY — Schedule Now",IF(G94&gt;-3,"🔵 Due This Week","🟢 Upcoming — On Track"))))</f>
        <v>🔴 CRITICAL — Call Immediately</v>
      </c>
    </row>
    <row r="95" customFormat="false" ht="15" hidden="false" customHeight="true" outlineLevel="0" collapsed="false">
      <c r="A95" s="75" t="s">
        <v>922</v>
      </c>
      <c r="B95" s="77" t="s">
        <v>148</v>
      </c>
      <c r="C95" s="77" t="s">
        <v>191</v>
      </c>
      <c r="D95" s="75" t="s">
        <v>161</v>
      </c>
      <c r="E95" s="76" t="n">
        <v>45582</v>
      </c>
      <c r="F95" s="76" t="n">
        <v>46192</v>
      </c>
      <c r="G95" s="87" t="n">
        <f aca="true">IFERROR(TODAY()-F95,0)</f>
        <v>9</v>
      </c>
      <c r="H95" s="112" t="str">
        <f aca="false">IF(G95&gt;7,"🔴 CRITICAL — Call Immediately",IF(G95&gt;0,"🟠 OVERDUE — Call Today",IF(G95=0,"🟡 DUE TODAY — Schedule Now",IF(G95&gt;-3,"🔵 Due This Week","🟢 Upcoming — On Track"))))</f>
        <v>🔴 CRITICAL — Call Immediately</v>
      </c>
    </row>
    <row r="96" customFormat="false" ht="15" hidden="false" customHeight="true" outlineLevel="0" collapsed="false">
      <c r="A96" s="70" t="s">
        <v>947</v>
      </c>
      <c r="B96" s="72" t="s">
        <v>483</v>
      </c>
      <c r="C96" s="72" t="s">
        <v>93</v>
      </c>
      <c r="D96" s="70" t="s">
        <v>104</v>
      </c>
      <c r="E96" s="71" t="n">
        <v>45550</v>
      </c>
      <c r="F96" s="71" t="n">
        <v>46192</v>
      </c>
      <c r="G96" s="88" t="n">
        <f aca="true">IFERROR(TODAY()-F96,0)</f>
        <v>9</v>
      </c>
      <c r="H96" s="110" t="str">
        <f aca="false">IF(G96&gt;7,"🔴 CRITICAL — Call Immediately",IF(G96&gt;0,"🟠 OVERDUE — Call Today",IF(G96=0,"🟡 DUE TODAY — Schedule Now",IF(G96&gt;-3,"🔵 Due This Week","🟢 Upcoming — On Track"))))</f>
        <v>🔴 CRITICAL — Call Immediately</v>
      </c>
    </row>
    <row r="97" customFormat="false" ht="15" hidden="false" customHeight="true" outlineLevel="0" collapsed="false">
      <c r="A97" s="75" t="s">
        <v>949</v>
      </c>
      <c r="B97" s="77" t="s">
        <v>305</v>
      </c>
      <c r="C97" s="77" t="s">
        <v>170</v>
      </c>
      <c r="D97" s="75" t="s">
        <v>143</v>
      </c>
      <c r="E97" s="76" t="n">
        <v>45535</v>
      </c>
      <c r="F97" s="76" t="n">
        <v>46192</v>
      </c>
      <c r="G97" s="87" t="n">
        <f aca="true">IFERROR(TODAY()-F97,0)</f>
        <v>9</v>
      </c>
      <c r="H97" s="112" t="str">
        <f aca="false">IF(G97&gt;7,"🔴 CRITICAL — Call Immediately",IF(G97&gt;0,"🟠 OVERDUE — Call Today",IF(G97=0,"🟡 DUE TODAY — Schedule Now",IF(G97&gt;-3,"🔵 Due This Week","🟢 Upcoming — On Track"))))</f>
        <v>🔴 CRITICAL — Call Immediately</v>
      </c>
    </row>
    <row r="98" customFormat="false" ht="15" hidden="false" customHeight="true" outlineLevel="0" collapsed="false">
      <c r="A98" s="70" t="s">
        <v>972</v>
      </c>
      <c r="B98" s="72" t="s">
        <v>973</v>
      </c>
      <c r="C98" s="72" t="s">
        <v>191</v>
      </c>
      <c r="D98" s="70" t="s">
        <v>104</v>
      </c>
      <c r="E98" s="71" t="n">
        <v>45581</v>
      </c>
      <c r="F98" s="71" t="n">
        <v>46192</v>
      </c>
      <c r="G98" s="88" t="n">
        <f aca="true">IFERROR(TODAY()-F98,0)</f>
        <v>9</v>
      </c>
      <c r="H98" s="110" t="str">
        <f aca="false">IF(G98&gt;7,"🔴 CRITICAL — Call Immediately",IF(G98&gt;0,"🟠 OVERDUE — Call Today",IF(G98=0,"🟡 DUE TODAY — Schedule Now",IF(G98&gt;-3,"🔵 Due This Week","🟢 Upcoming — On Track"))))</f>
        <v>🔴 CRITICAL — Call Immediately</v>
      </c>
    </row>
    <row r="99" customFormat="false" ht="15" hidden="false" customHeight="true" outlineLevel="0" collapsed="false">
      <c r="A99" s="75" t="s">
        <v>992</v>
      </c>
      <c r="B99" s="77" t="s">
        <v>993</v>
      </c>
      <c r="C99" s="77" t="s">
        <v>142</v>
      </c>
      <c r="D99" s="75" t="s">
        <v>161</v>
      </c>
      <c r="E99" s="76" t="n">
        <v>45626</v>
      </c>
      <c r="F99" s="76" t="n">
        <v>46192</v>
      </c>
      <c r="G99" s="87" t="n">
        <f aca="true">IFERROR(TODAY()-F99,0)</f>
        <v>9</v>
      </c>
      <c r="H99" s="112" t="str">
        <f aca="false">IF(G99&gt;7,"🔴 CRITICAL — Call Immediately",IF(G99&gt;0,"🟠 OVERDUE — Call Today",IF(G99=0,"🟡 DUE TODAY — Schedule Now",IF(G99&gt;-3,"🔵 Due This Week","🟢 Upcoming — On Track"))))</f>
        <v>🔴 CRITICAL — Call Immediately</v>
      </c>
    </row>
    <row r="100" customFormat="false" ht="15" hidden="false" customHeight="true" outlineLevel="0" collapsed="false">
      <c r="A100" s="70" t="s">
        <v>1010</v>
      </c>
      <c r="B100" s="72" t="s">
        <v>1011</v>
      </c>
      <c r="C100" s="72" t="s">
        <v>93</v>
      </c>
      <c r="D100" s="70" t="s">
        <v>104</v>
      </c>
      <c r="E100" s="71" t="n">
        <v>45581</v>
      </c>
      <c r="F100" s="71" t="n">
        <v>46192</v>
      </c>
      <c r="G100" s="88" t="n">
        <f aca="true">IFERROR(TODAY()-F100,0)</f>
        <v>9</v>
      </c>
      <c r="H100" s="110" t="str">
        <f aca="false">IF(G100&gt;7,"🔴 CRITICAL — Call Immediately",IF(G100&gt;0,"🟠 OVERDUE — Call Today",IF(G100=0,"🟡 DUE TODAY — Schedule Now",IF(G100&gt;-3,"🔵 Due This Week","🟢 Upcoming — On Track"))))</f>
        <v>🔴 CRITICAL — Call Immediately</v>
      </c>
    </row>
    <row r="101" customFormat="false" ht="15" hidden="false" customHeight="true" outlineLevel="0" collapsed="false">
      <c r="A101" s="75" t="s">
        <v>1294</v>
      </c>
      <c r="B101" s="77" t="s">
        <v>1295</v>
      </c>
      <c r="C101" s="77" t="s">
        <v>148</v>
      </c>
      <c r="D101" s="75" t="s">
        <v>143</v>
      </c>
      <c r="E101" s="76" t="n">
        <v>45420</v>
      </c>
      <c r="F101" s="76" t="n">
        <v>46192</v>
      </c>
      <c r="G101" s="87" t="n">
        <f aca="true">IFERROR(TODAY()-F101,0)</f>
        <v>9</v>
      </c>
      <c r="H101" s="112" t="str">
        <f aca="false">IF(G101&gt;7,"🔴 CRITICAL — Call Immediately",IF(G101&gt;0,"🟠 OVERDUE — Call Today",IF(G101=0,"🟡 DUE TODAY — Schedule Now",IF(G101&gt;-3,"🔵 Due This Week","🟢 Upcoming — On Track"))))</f>
        <v>🔴 CRITICAL — Call Immediately</v>
      </c>
    </row>
    <row r="102" customFormat="false" ht="15" hidden="false" customHeight="true" outlineLevel="0" collapsed="false">
      <c r="A102" s="70" t="s">
        <v>1300</v>
      </c>
      <c r="B102" s="72" t="s">
        <v>1301</v>
      </c>
      <c r="C102" s="72" t="s">
        <v>124</v>
      </c>
      <c r="D102" s="70" t="s">
        <v>94</v>
      </c>
      <c r="E102" s="71" t="n">
        <v>45425</v>
      </c>
      <c r="F102" s="71" t="n">
        <v>46192</v>
      </c>
      <c r="G102" s="88" t="n">
        <f aca="true">IFERROR(TODAY()-F102,0)</f>
        <v>9</v>
      </c>
      <c r="H102" s="110" t="str">
        <f aca="false">IF(G102&gt;7,"🔴 CRITICAL — Call Immediately",IF(G102&gt;0,"🟠 OVERDUE — Call Today",IF(G102=0,"🟡 DUE TODAY — Schedule Now",IF(G102&gt;-3,"🔵 Due This Week","🟢 Upcoming — On Track"))))</f>
        <v>🔴 CRITICAL — Call Immediately</v>
      </c>
    </row>
    <row r="103" customFormat="false" ht="15" hidden="false" customHeight="true" outlineLevel="0" collapsed="false">
      <c r="A103" s="75" t="s">
        <v>1370</v>
      </c>
      <c r="B103" s="77" t="s">
        <v>1371</v>
      </c>
      <c r="C103" s="77" t="s">
        <v>142</v>
      </c>
      <c r="D103" s="75" t="s">
        <v>94</v>
      </c>
      <c r="E103" s="76" t="n">
        <v>45602</v>
      </c>
      <c r="F103" s="76" t="n">
        <v>46192</v>
      </c>
      <c r="G103" s="87" t="n">
        <f aca="true">IFERROR(TODAY()-F103,0)</f>
        <v>9</v>
      </c>
      <c r="H103" s="112" t="str">
        <f aca="false">IF(G103&gt;7,"🔴 CRITICAL — Call Immediately",IF(G103&gt;0,"🟠 OVERDUE — Call Today",IF(G103=0,"🟡 DUE TODAY — Schedule Now",IF(G103&gt;-3,"🔵 Due This Week","🟢 Upcoming — On Track"))))</f>
        <v>🔴 CRITICAL — Call Immediately</v>
      </c>
    </row>
    <row r="104" customFormat="false" ht="15" hidden="false" customHeight="true" outlineLevel="0" collapsed="false">
      <c r="A104" s="70" t="s">
        <v>1463</v>
      </c>
      <c r="B104" s="72" t="s">
        <v>540</v>
      </c>
      <c r="C104" s="72" t="s">
        <v>170</v>
      </c>
      <c r="D104" s="70" t="s">
        <v>143</v>
      </c>
      <c r="E104" s="71" t="n">
        <v>45578</v>
      </c>
      <c r="F104" s="71" t="n">
        <v>46192</v>
      </c>
      <c r="G104" s="88" t="n">
        <f aca="true">IFERROR(TODAY()-F104,0)</f>
        <v>9</v>
      </c>
      <c r="H104" s="110" t="str">
        <f aca="false">IF(G104&gt;7,"🔴 CRITICAL — Call Immediately",IF(G104&gt;0,"🟠 OVERDUE — Call Today",IF(G104=0,"🟡 DUE TODAY — Schedule Now",IF(G104&gt;-3,"🔵 Due This Week","🟢 Upcoming — On Track"))))</f>
        <v>🔴 CRITICAL — Call Immediately</v>
      </c>
    </row>
    <row r="105" customFormat="false" ht="15" hidden="false" customHeight="true" outlineLevel="0" collapsed="false">
      <c r="A105" s="75" t="s">
        <v>167</v>
      </c>
      <c r="B105" s="77" t="s">
        <v>168</v>
      </c>
      <c r="C105" s="77" t="s">
        <v>170</v>
      </c>
      <c r="D105" s="75" t="s">
        <v>104</v>
      </c>
      <c r="E105" s="76" t="n">
        <v>45697</v>
      </c>
      <c r="F105" s="76" t="n">
        <v>46193</v>
      </c>
      <c r="G105" s="87" t="n">
        <f aca="true">IFERROR(TODAY()-F105,0)</f>
        <v>8</v>
      </c>
      <c r="H105" s="112" t="str">
        <f aca="false">IF(G105&gt;7,"🔴 CRITICAL — Call Immediately",IF(G105&gt;0,"🟠 OVERDUE — Call Today",IF(G105=0,"🟡 DUE TODAY — Schedule Now",IF(G105&gt;-3,"🔵 Due This Week","🟢 Upcoming — On Track"))))</f>
        <v>🔴 CRITICAL — Call Immediately</v>
      </c>
    </row>
    <row r="106" customFormat="false" ht="15" hidden="false" customHeight="true" outlineLevel="0" collapsed="false">
      <c r="A106" s="70" t="s">
        <v>180</v>
      </c>
      <c r="B106" s="72" t="s">
        <v>181</v>
      </c>
      <c r="C106" s="72" t="s">
        <v>142</v>
      </c>
      <c r="D106" s="70" t="s">
        <v>104</v>
      </c>
      <c r="E106" s="71" t="n">
        <v>45629</v>
      </c>
      <c r="F106" s="71" t="n">
        <v>46193</v>
      </c>
      <c r="G106" s="88" t="n">
        <f aca="true">IFERROR(TODAY()-F106,0)</f>
        <v>8</v>
      </c>
      <c r="H106" s="110" t="str">
        <f aca="false">IF(G106&gt;7,"🔴 CRITICAL — Call Immediately",IF(G106&gt;0,"🟠 OVERDUE — Call Today",IF(G106=0,"🟡 DUE TODAY — Schedule Now",IF(G106&gt;-3,"🔵 Due This Week","🟢 Upcoming — On Track"))))</f>
        <v>🔴 CRITICAL — Call Immediately</v>
      </c>
    </row>
    <row r="107" customFormat="false" ht="15" hidden="false" customHeight="true" outlineLevel="0" collapsed="false">
      <c r="A107" s="75" t="s">
        <v>192</v>
      </c>
      <c r="B107" s="77" t="s">
        <v>193</v>
      </c>
      <c r="C107" s="77" t="s">
        <v>124</v>
      </c>
      <c r="D107" s="75" t="s">
        <v>104</v>
      </c>
      <c r="E107" s="76" t="n">
        <v>45635</v>
      </c>
      <c r="F107" s="76" t="n">
        <v>46193</v>
      </c>
      <c r="G107" s="87" t="n">
        <f aca="true">IFERROR(TODAY()-F107,0)</f>
        <v>8</v>
      </c>
      <c r="H107" s="112" t="str">
        <f aca="false">IF(G107&gt;7,"🔴 CRITICAL — Call Immediately",IF(G107&gt;0,"🟠 OVERDUE — Call Today",IF(G107=0,"🟡 DUE TODAY — Schedule Now",IF(G107&gt;-3,"🔵 Due This Week","🟢 Upcoming — On Track"))))</f>
        <v>🔴 CRITICAL — Call Immediately</v>
      </c>
    </row>
    <row r="108" customFormat="false" ht="15" hidden="false" customHeight="true" outlineLevel="0" collapsed="false">
      <c r="A108" s="70" t="s">
        <v>271</v>
      </c>
      <c r="B108" s="72" t="s">
        <v>272</v>
      </c>
      <c r="C108" s="72" t="s">
        <v>209</v>
      </c>
      <c r="D108" s="70" t="s">
        <v>161</v>
      </c>
      <c r="E108" s="71" t="n">
        <v>45596</v>
      </c>
      <c r="F108" s="71" t="n">
        <v>46193</v>
      </c>
      <c r="G108" s="88" t="n">
        <f aca="true">IFERROR(TODAY()-F108,0)</f>
        <v>8</v>
      </c>
      <c r="H108" s="110" t="str">
        <f aca="false">IF(G108&gt;7,"🔴 CRITICAL — Call Immediately",IF(G108&gt;0,"🟠 OVERDUE — Call Today",IF(G108=0,"🟡 DUE TODAY — Schedule Now",IF(G108&gt;-3,"🔵 Due This Week","🟢 Upcoming — On Track"))))</f>
        <v>🔴 CRITICAL — Call Immediately</v>
      </c>
    </row>
    <row r="109" customFormat="false" ht="15" hidden="false" customHeight="true" outlineLevel="0" collapsed="false">
      <c r="A109" s="75" t="s">
        <v>482</v>
      </c>
      <c r="B109" s="77" t="s">
        <v>483</v>
      </c>
      <c r="C109" s="77" t="s">
        <v>170</v>
      </c>
      <c r="D109" s="75" t="s">
        <v>104</v>
      </c>
      <c r="E109" s="76" t="n">
        <v>45460</v>
      </c>
      <c r="F109" s="76" t="n">
        <v>46193</v>
      </c>
      <c r="G109" s="87" t="n">
        <f aca="true">IFERROR(TODAY()-F109,0)</f>
        <v>8</v>
      </c>
      <c r="H109" s="112" t="str">
        <f aca="false">IF(G109&gt;7,"🔴 CRITICAL — Call Immediately",IF(G109&gt;0,"🟠 OVERDUE — Call Today",IF(G109=0,"🟡 DUE TODAY — Schedule Now",IF(G109&gt;-3,"🔵 Due This Week","🟢 Upcoming — On Track"))))</f>
        <v>🔴 CRITICAL — Call Immediately</v>
      </c>
    </row>
    <row r="110" customFormat="false" ht="15" hidden="false" customHeight="true" outlineLevel="0" collapsed="false">
      <c r="A110" s="70" t="s">
        <v>711</v>
      </c>
      <c r="B110" s="72" t="s">
        <v>712</v>
      </c>
      <c r="C110" s="72" t="s">
        <v>209</v>
      </c>
      <c r="D110" s="70" t="s">
        <v>104</v>
      </c>
      <c r="E110" s="71" t="n">
        <v>45392</v>
      </c>
      <c r="F110" s="71" t="n">
        <v>46193</v>
      </c>
      <c r="G110" s="88" t="n">
        <f aca="true">IFERROR(TODAY()-F110,0)</f>
        <v>8</v>
      </c>
      <c r="H110" s="110" t="str">
        <f aca="false">IF(G110&gt;7,"🔴 CRITICAL — Call Immediately",IF(G110&gt;0,"🟠 OVERDUE — Call Today",IF(G110=0,"🟡 DUE TODAY — Schedule Now",IF(G110&gt;-3,"🔵 Due This Week","🟢 Upcoming — On Track"))))</f>
        <v>🔴 CRITICAL — Call Immediately</v>
      </c>
    </row>
    <row r="111" customFormat="false" ht="15" hidden="false" customHeight="true" outlineLevel="0" collapsed="false">
      <c r="A111" s="75" t="s">
        <v>783</v>
      </c>
      <c r="B111" s="77" t="s">
        <v>784</v>
      </c>
      <c r="C111" s="77" t="s">
        <v>93</v>
      </c>
      <c r="D111" s="75" t="s">
        <v>120</v>
      </c>
      <c r="E111" s="76" t="n">
        <v>45513</v>
      </c>
      <c r="F111" s="76" t="n">
        <v>46193</v>
      </c>
      <c r="G111" s="87" t="n">
        <f aca="true">IFERROR(TODAY()-F111,0)</f>
        <v>8</v>
      </c>
      <c r="H111" s="112" t="str">
        <f aca="false">IF(G111&gt;7,"🔴 CRITICAL — Call Immediately",IF(G111&gt;0,"🟠 OVERDUE — Call Today",IF(G111=0,"🟡 DUE TODAY — Schedule Now",IF(G111&gt;-3,"🔵 Due This Week","🟢 Upcoming — On Track"))))</f>
        <v>🔴 CRITICAL — Call Immediately</v>
      </c>
    </row>
    <row r="112" customFormat="false" ht="15" hidden="false" customHeight="true" outlineLevel="0" collapsed="false">
      <c r="A112" s="70" t="s">
        <v>823</v>
      </c>
      <c r="B112" s="72" t="s">
        <v>824</v>
      </c>
      <c r="C112" s="72" t="s">
        <v>93</v>
      </c>
      <c r="D112" s="70" t="s">
        <v>143</v>
      </c>
      <c r="E112" s="71" t="n">
        <v>45445</v>
      </c>
      <c r="F112" s="71" t="n">
        <v>46193</v>
      </c>
      <c r="G112" s="88" t="n">
        <f aca="true">IFERROR(TODAY()-F112,0)</f>
        <v>8</v>
      </c>
      <c r="H112" s="110" t="str">
        <f aca="false">IF(G112&gt;7,"🔴 CRITICAL — Call Immediately",IF(G112&gt;0,"🟠 OVERDUE — Call Today",IF(G112=0,"🟡 DUE TODAY — Schedule Now",IF(G112&gt;-3,"🔵 Due This Week","🟢 Upcoming — On Track"))))</f>
        <v>🔴 CRITICAL — Call Immediately</v>
      </c>
    </row>
    <row r="113" customFormat="false" ht="15" hidden="false" customHeight="true" outlineLevel="0" collapsed="false">
      <c r="A113" s="75" t="s">
        <v>859</v>
      </c>
      <c r="B113" s="77" t="s">
        <v>860</v>
      </c>
      <c r="C113" s="77" t="s">
        <v>112</v>
      </c>
      <c r="D113" s="75" t="s">
        <v>104</v>
      </c>
      <c r="E113" s="76" t="n">
        <v>45698</v>
      </c>
      <c r="F113" s="76" t="n">
        <v>46193</v>
      </c>
      <c r="G113" s="87" t="n">
        <f aca="true">IFERROR(TODAY()-F113,0)</f>
        <v>8</v>
      </c>
      <c r="H113" s="112" t="str">
        <f aca="false">IF(G113&gt;7,"🔴 CRITICAL — Call Immediately",IF(G113&gt;0,"🟠 OVERDUE — Call Today",IF(G113=0,"🟡 DUE TODAY — Schedule Now",IF(G113&gt;-3,"🔵 Due This Week","🟢 Upcoming — On Track"))))</f>
        <v>🔴 CRITICAL — Call Immediately</v>
      </c>
    </row>
    <row r="114" customFormat="false" ht="15" hidden="false" customHeight="true" outlineLevel="0" collapsed="false">
      <c r="A114" s="70" t="s">
        <v>1057</v>
      </c>
      <c r="B114" s="72" t="s">
        <v>1058</v>
      </c>
      <c r="C114" s="72" t="s">
        <v>93</v>
      </c>
      <c r="D114" s="70" t="s">
        <v>161</v>
      </c>
      <c r="E114" s="71" t="n">
        <v>45627</v>
      </c>
      <c r="F114" s="71" t="n">
        <v>46193</v>
      </c>
      <c r="G114" s="88" t="n">
        <f aca="true">IFERROR(TODAY()-F114,0)</f>
        <v>8</v>
      </c>
      <c r="H114" s="110" t="str">
        <f aca="false">IF(G114&gt;7,"🔴 CRITICAL — Call Immediately",IF(G114&gt;0,"🟠 OVERDUE — Call Today",IF(G114=0,"🟡 DUE TODAY — Schedule Now",IF(G114&gt;-3,"🔵 Due This Week","🟢 Upcoming — On Track"))))</f>
        <v>🔴 CRITICAL — Call Immediately</v>
      </c>
    </row>
    <row r="115" customFormat="false" ht="15" hidden="false" customHeight="true" outlineLevel="0" collapsed="false">
      <c r="A115" s="75" t="s">
        <v>1149</v>
      </c>
      <c r="B115" s="77" t="s">
        <v>496</v>
      </c>
      <c r="C115" s="77" t="s">
        <v>103</v>
      </c>
      <c r="D115" s="75" t="s">
        <v>161</v>
      </c>
      <c r="E115" s="76" t="n">
        <v>45704</v>
      </c>
      <c r="F115" s="76" t="n">
        <v>46193</v>
      </c>
      <c r="G115" s="87" t="n">
        <f aca="true">IFERROR(TODAY()-F115,0)</f>
        <v>8</v>
      </c>
      <c r="H115" s="112" t="str">
        <f aca="false">IF(G115&gt;7,"🔴 CRITICAL — Call Immediately",IF(G115&gt;0,"🟠 OVERDUE — Call Today",IF(G115=0,"🟡 DUE TODAY — Schedule Now",IF(G115&gt;-3,"🔵 Due This Week","🟢 Upcoming — On Track"))))</f>
        <v>🔴 CRITICAL — Call Immediately</v>
      </c>
    </row>
    <row r="116" customFormat="false" ht="15" hidden="false" customHeight="true" outlineLevel="0" collapsed="false">
      <c r="A116" s="70" t="s">
        <v>1197</v>
      </c>
      <c r="B116" s="72" t="s">
        <v>1198</v>
      </c>
      <c r="C116" s="72" t="s">
        <v>148</v>
      </c>
      <c r="D116" s="70" t="s">
        <v>120</v>
      </c>
      <c r="E116" s="71" t="n">
        <v>45458</v>
      </c>
      <c r="F116" s="71" t="n">
        <v>46193</v>
      </c>
      <c r="G116" s="88" t="n">
        <f aca="true">IFERROR(TODAY()-F116,0)</f>
        <v>8</v>
      </c>
      <c r="H116" s="110" t="str">
        <f aca="false">IF(G116&gt;7,"🔴 CRITICAL — Call Immediately",IF(G116&gt;0,"🟠 OVERDUE — Call Today",IF(G116=0,"🟡 DUE TODAY — Schedule Now",IF(G116&gt;-3,"🔵 Due This Week","🟢 Upcoming — On Track"))))</f>
        <v>🔴 CRITICAL — Call Immediately</v>
      </c>
    </row>
    <row r="117" customFormat="false" ht="15" hidden="false" customHeight="true" outlineLevel="0" collapsed="false">
      <c r="A117" s="75" t="s">
        <v>1242</v>
      </c>
      <c r="B117" s="77" t="s">
        <v>1243</v>
      </c>
      <c r="C117" s="77" t="s">
        <v>170</v>
      </c>
      <c r="D117" s="75" t="s">
        <v>94</v>
      </c>
      <c r="E117" s="76" t="n">
        <v>45608</v>
      </c>
      <c r="F117" s="76" t="n">
        <v>46193</v>
      </c>
      <c r="G117" s="87" t="n">
        <f aca="true">IFERROR(TODAY()-F117,0)</f>
        <v>8</v>
      </c>
      <c r="H117" s="112" t="str">
        <f aca="false">IF(G117&gt;7,"🔴 CRITICAL — Call Immediately",IF(G117&gt;0,"🟠 OVERDUE — Call Today",IF(G117=0,"🟡 DUE TODAY — Schedule Now",IF(G117&gt;-3,"🔵 Due This Week","🟢 Upcoming — On Track"))))</f>
        <v>🔴 CRITICAL — Call Immediately</v>
      </c>
    </row>
    <row r="118" customFormat="false" ht="15" hidden="false" customHeight="true" outlineLevel="0" collapsed="false">
      <c r="A118" s="70" t="s">
        <v>1276</v>
      </c>
      <c r="B118" s="72" t="s">
        <v>1277</v>
      </c>
      <c r="C118" s="72" t="s">
        <v>209</v>
      </c>
      <c r="D118" s="70" t="s">
        <v>143</v>
      </c>
      <c r="E118" s="71" t="n">
        <v>45642</v>
      </c>
      <c r="F118" s="71" t="n">
        <v>46193</v>
      </c>
      <c r="G118" s="88" t="n">
        <f aca="true">IFERROR(TODAY()-F118,0)</f>
        <v>8</v>
      </c>
      <c r="H118" s="110" t="str">
        <f aca="false">IF(G118&gt;7,"🔴 CRITICAL — Call Immediately",IF(G118&gt;0,"🟠 OVERDUE — Call Today",IF(G118=0,"🟡 DUE TODAY — Schedule Now",IF(G118&gt;-3,"🔵 Due This Week","🟢 Upcoming — On Track"))))</f>
        <v>🔴 CRITICAL — Call Immediately</v>
      </c>
    </row>
    <row r="119" customFormat="false" ht="15" hidden="false" customHeight="true" outlineLevel="0" collapsed="false">
      <c r="A119" s="75" t="s">
        <v>1324</v>
      </c>
      <c r="B119" s="77" t="s">
        <v>486</v>
      </c>
      <c r="C119" s="77" t="s">
        <v>148</v>
      </c>
      <c r="D119" s="75" t="s">
        <v>143</v>
      </c>
      <c r="E119" s="76" t="n">
        <v>45705</v>
      </c>
      <c r="F119" s="76" t="n">
        <v>46193</v>
      </c>
      <c r="G119" s="87" t="n">
        <f aca="true">IFERROR(TODAY()-F119,0)</f>
        <v>8</v>
      </c>
      <c r="H119" s="112" t="str">
        <f aca="false">IF(G119&gt;7,"🔴 CRITICAL — Call Immediately",IF(G119&gt;0,"🟠 OVERDUE — Call Today",IF(G119=0,"🟡 DUE TODAY — Schedule Now",IF(G119&gt;-3,"🔵 Due This Week","🟢 Upcoming — On Track"))))</f>
        <v>🔴 CRITICAL — Call Immediately</v>
      </c>
    </row>
    <row r="120" customFormat="false" ht="15" hidden="false" customHeight="true" outlineLevel="0" collapsed="false">
      <c r="A120" s="70" t="s">
        <v>1452</v>
      </c>
      <c r="B120" s="72" t="s">
        <v>499</v>
      </c>
      <c r="C120" s="72" t="s">
        <v>191</v>
      </c>
      <c r="D120" s="70" t="s">
        <v>161</v>
      </c>
      <c r="E120" s="71" t="n">
        <v>45706</v>
      </c>
      <c r="F120" s="71" t="n">
        <v>46193</v>
      </c>
      <c r="G120" s="88" t="n">
        <f aca="true">IFERROR(TODAY()-F120,0)</f>
        <v>8</v>
      </c>
      <c r="H120" s="110" t="str">
        <f aca="false">IF(G120&gt;7,"🔴 CRITICAL — Call Immediately",IF(G120&gt;0,"🟠 OVERDUE — Call Today",IF(G120=0,"🟡 DUE TODAY — Schedule Now",IF(G120&gt;-3,"🔵 Due This Week","🟢 Upcoming — On Track"))))</f>
        <v>🔴 CRITICAL — Call Immediately</v>
      </c>
    </row>
    <row r="121" customFormat="false" ht="15" hidden="false" customHeight="true" outlineLevel="0" collapsed="false">
      <c r="A121" s="75" t="s">
        <v>211</v>
      </c>
      <c r="B121" s="77" t="s">
        <v>212</v>
      </c>
      <c r="C121" s="77" t="s">
        <v>103</v>
      </c>
      <c r="D121" s="75" t="s">
        <v>104</v>
      </c>
      <c r="E121" s="76" t="n">
        <v>45562</v>
      </c>
      <c r="F121" s="76" t="n">
        <v>46194</v>
      </c>
      <c r="G121" s="87" t="n">
        <f aca="true">IFERROR(TODAY()-F121,0)</f>
        <v>7</v>
      </c>
      <c r="H121" s="112" t="str">
        <f aca="false">IF(G121&gt;7,"🔴 CRITICAL — Call Immediately",IF(G121&gt;0,"🟠 OVERDUE — Call Today",IF(G121=0,"🟡 DUE TODAY — Schedule Now",IF(G121&gt;-3,"🔵 Due This Week","🟢 Upcoming — On Track"))))</f>
        <v>🟠 OVERDUE — Call Today</v>
      </c>
    </row>
    <row r="122" customFormat="false" ht="15" hidden="false" customHeight="true" outlineLevel="0" collapsed="false">
      <c r="A122" s="70" t="s">
        <v>384</v>
      </c>
      <c r="B122" s="72" t="s">
        <v>385</v>
      </c>
      <c r="C122" s="72" t="s">
        <v>124</v>
      </c>
      <c r="D122" s="70" t="s">
        <v>161</v>
      </c>
      <c r="E122" s="71" t="n">
        <v>45683</v>
      </c>
      <c r="F122" s="71" t="n">
        <v>46194</v>
      </c>
      <c r="G122" s="88" t="n">
        <f aca="true">IFERROR(TODAY()-F122,0)</f>
        <v>7</v>
      </c>
      <c r="H122" s="110" t="str">
        <f aca="false">IF(G122&gt;7,"🔴 CRITICAL — Call Immediately",IF(G122&gt;0,"🟠 OVERDUE — Call Today",IF(G122=0,"🟡 DUE TODAY — Schedule Now",IF(G122&gt;-3,"🔵 Due This Week","🟢 Upcoming — On Track"))))</f>
        <v>🟠 OVERDUE — Call Today</v>
      </c>
    </row>
    <row r="123" customFormat="false" ht="15" hidden="false" customHeight="true" outlineLevel="0" collapsed="false">
      <c r="A123" s="75" t="s">
        <v>401</v>
      </c>
      <c r="B123" s="77" t="s">
        <v>402</v>
      </c>
      <c r="C123" s="77" t="s">
        <v>93</v>
      </c>
      <c r="D123" s="75" t="s">
        <v>143</v>
      </c>
      <c r="E123" s="76" t="n">
        <v>45423</v>
      </c>
      <c r="F123" s="76" t="n">
        <v>46194</v>
      </c>
      <c r="G123" s="87" t="n">
        <f aca="true">IFERROR(TODAY()-F123,0)</f>
        <v>7</v>
      </c>
      <c r="H123" s="112" t="str">
        <f aca="false">IF(G123&gt;7,"🔴 CRITICAL — Call Immediately",IF(G123&gt;0,"🟠 OVERDUE — Call Today",IF(G123=0,"🟡 DUE TODAY — Schedule Now",IF(G123&gt;-3,"🔵 Due This Week","🟢 Upcoming — On Track"))))</f>
        <v>🟠 OVERDUE — Call Today</v>
      </c>
    </row>
    <row r="124" customFormat="false" ht="15" hidden="false" customHeight="true" outlineLevel="0" collapsed="false">
      <c r="A124" s="70" t="s">
        <v>566</v>
      </c>
      <c r="B124" s="72" t="s">
        <v>567</v>
      </c>
      <c r="C124" s="72" t="s">
        <v>103</v>
      </c>
      <c r="D124" s="70" t="s">
        <v>143</v>
      </c>
      <c r="E124" s="71" t="n">
        <v>45546</v>
      </c>
      <c r="F124" s="71" t="n">
        <v>46194</v>
      </c>
      <c r="G124" s="88" t="n">
        <f aca="true">IFERROR(TODAY()-F124,0)</f>
        <v>7</v>
      </c>
      <c r="H124" s="110" t="str">
        <f aca="false">IF(G124&gt;7,"🔴 CRITICAL — Call Immediately",IF(G124&gt;0,"🟠 OVERDUE — Call Today",IF(G124=0,"🟡 DUE TODAY — Schedule Now",IF(G124&gt;-3,"🔵 Due This Week","🟢 Upcoming — On Track"))))</f>
        <v>🟠 OVERDUE — Call Today</v>
      </c>
    </row>
    <row r="125" customFormat="false" ht="15" hidden="false" customHeight="true" outlineLevel="0" collapsed="false">
      <c r="A125" s="75" t="s">
        <v>593</v>
      </c>
      <c r="B125" s="77" t="s">
        <v>594</v>
      </c>
      <c r="C125" s="77" t="s">
        <v>103</v>
      </c>
      <c r="D125" s="75" t="s">
        <v>104</v>
      </c>
      <c r="E125" s="76" t="n">
        <v>45541</v>
      </c>
      <c r="F125" s="76" t="n">
        <v>46194</v>
      </c>
      <c r="G125" s="87" t="n">
        <f aca="true">IFERROR(TODAY()-F125,0)</f>
        <v>7</v>
      </c>
      <c r="H125" s="112" t="str">
        <f aca="false">IF(G125&gt;7,"🔴 CRITICAL — Call Immediately",IF(G125&gt;0,"🟠 OVERDUE — Call Today",IF(G125=0,"🟡 DUE TODAY — Schedule Now",IF(G125&gt;-3,"🔵 Due This Week","🟢 Upcoming — On Track"))))</f>
        <v>🟠 OVERDUE — Call Today</v>
      </c>
    </row>
    <row r="126" customFormat="false" ht="15" hidden="false" customHeight="true" outlineLevel="0" collapsed="false">
      <c r="A126" s="70" t="s">
        <v>894</v>
      </c>
      <c r="B126" s="72" t="s">
        <v>895</v>
      </c>
      <c r="C126" s="72" t="s">
        <v>112</v>
      </c>
      <c r="D126" s="70" t="s">
        <v>161</v>
      </c>
      <c r="E126" s="71" t="n">
        <v>45543</v>
      </c>
      <c r="F126" s="71" t="n">
        <v>46194</v>
      </c>
      <c r="G126" s="88" t="n">
        <f aca="true">IFERROR(TODAY()-F126,0)</f>
        <v>7</v>
      </c>
      <c r="H126" s="110" t="str">
        <f aca="false">IF(G126&gt;7,"🔴 CRITICAL — Call Immediately",IF(G126&gt;0,"🟠 OVERDUE — Call Today",IF(G126=0,"🟡 DUE TODAY — Schedule Now",IF(G126&gt;-3,"🔵 Due This Week","🟢 Upcoming — On Track"))))</f>
        <v>🟠 OVERDUE — Call Today</v>
      </c>
    </row>
    <row r="127" customFormat="false" ht="15" hidden="false" customHeight="true" outlineLevel="0" collapsed="false">
      <c r="A127" s="75" t="s">
        <v>953</v>
      </c>
      <c r="B127" s="77" t="s">
        <v>954</v>
      </c>
      <c r="C127" s="77" t="s">
        <v>209</v>
      </c>
      <c r="D127" s="75" t="s">
        <v>143</v>
      </c>
      <c r="E127" s="76" t="n">
        <v>45520</v>
      </c>
      <c r="F127" s="76" t="n">
        <v>46194</v>
      </c>
      <c r="G127" s="87" t="n">
        <f aca="true">IFERROR(TODAY()-F127,0)</f>
        <v>7</v>
      </c>
      <c r="H127" s="112" t="str">
        <f aca="false">IF(G127&gt;7,"🔴 CRITICAL — Call Immediately",IF(G127&gt;0,"🟠 OVERDUE — Call Today",IF(G127=0,"🟡 DUE TODAY — Schedule Now",IF(G127&gt;-3,"🔵 Due This Week","🟢 Upcoming — On Track"))))</f>
        <v>🟠 OVERDUE — Call Today</v>
      </c>
    </row>
    <row r="128" customFormat="false" ht="15" hidden="false" customHeight="true" outlineLevel="0" collapsed="false">
      <c r="A128" s="70" t="s">
        <v>1203</v>
      </c>
      <c r="B128" s="72" t="s">
        <v>1204</v>
      </c>
      <c r="C128" s="72" t="s">
        <v>170</v>
      </c>
      <c r="D128" s="70" t="s">
        <v>94</v>
      </c>
      <c r="E128" s="71" t="n">
        <v>45594</v>
      </c>
      <c r="F128" s="71" t="n">
        <v>46194</v>
      </c>
      <c r="G128" s="88" t="n">
        <f aca="true">IFERROR(TODAY()-F128,0)</f>
        <v>7</v>
      </c>
      <c r="H128" s="110" t="str">
        <f aca="false">IF(G128&gt;7,"🔴 CRITICAL — Call Immediately",IF(G128&gt;0,"🟠 OVERDUE — Call Today",IF(G128=0,"🟡 DUE TODAY — Schedule Now",IF(G128&gt;-3,"🔵 Due This Week","🟢 Upcoming — On Track"))))</f>
        <v>🟠 OVERDUE — Call Today</v>
      </c>
    </row>
    <row r="129" customFormat="false" ht="15" hidden="false" customHeight="true" outlineLevel="0" collapsed="false">
      <c r="A129" s="75" t="s">
        <v>1206</v>
      </c>
      <c r="B129" s="77" t="s">
        <v>1207</v>
      </c>
      <c r="C129" s="77" t="s">
        <v>148</v>
      </c>
      <c r="D129" s="75" t="s">
        <v>120</v>
      </c>
      <c r="E129" s="76" t="n">
        <v>45471</v>
      </c>
      <c r="F129" s="76" t="n">
        <v>46194</v>
      </c>
      <c r="G129" s="87" t="n">
        <f aca="true">IFERROR(TODAY()-F129,0)</f>
        <v>7</v>
      </c>
      <c r="H129" s="112" t="str">
        <f aca="false">IF(G129&gt;7,"🔴 CRITICAL — Call Immediately",IF(G129&gt;0,"🟠 OVERDUE — Call Today",IF(G129=0,"🟡 DUE TODAY — Schedule Now",IF(G129&gt;-3,"🔵 Due This Week","🟢 Upcoming — On Track"))))</f>
        <v>🟠 OVERDUE — Call Today</v>
      </c>
    </row>
    <row r="130" customFormat="false" ht="15" hidden="false" customHeight="true" outlineLevel="0" collapsed="false">
      <c r="A130" s="70" t="s">
        <v>1245</v>
      </c>
      <c r="B130" s="72" t="s">
        <v>1246</v>
      </c>
      <c r="C130" s="72" t="s">
        <v>124</v>
      </c>
      <c r="D130" s="70" t="s">
        <v>161</v>
      </c>
      <c r="E130" s="71" t="n">
        <v>45404</v>
      </c>
      <c r="F130" s="71" t="n">
        <v>46194</v>
      </c>
      <c r="G130" s="88" t="n">
        <f aca="true">IFERROR(TODAY()-F130,0)</f>
        <v>7</v>
      </c>
      <c r="H130" s="110" t="str">
        <f aca="false">IF(G130&gt;7,"🔴 CRITICAL — Call Immediately",IF(G130&gt;0,"🟠 OVERDUE — Call Today",IF(G130=0,"🟡 DUE TODAY — Schedule Now",IF(G130&gt;-3,"🔵 Due This Week","🟢 Upcoming — On Track"))))</f>
        <v>🟠 OVERDUE — Call Today</v>
      </c>
    </row>
    <row r="131" customFormat="false" ht="15" hidden="false" customHeight="true" outlineLevel="0" collapsed="false">
      <c r="A131" s="75" t="s">
        <v>1279</v>
      </c>
      <c r="B131" s="77" t="s">
        <v>1280</v>
      </c>
      <c r="C131" s="77" t="s">
        <v>148</v>
      </c>
      <c r="D131" s="75" t="s">
        <v>94</v>
      </c>
      <c r="E131" s="76" t="n">
        <v>45437</v>
      </c>
      <c r="F131" s="76" t="n">
        <v>46194</v>
      </c>
      <c r="G131" s="87" t="n">
        <f aca="true">IFERROR(TODAY()-F131,0)</f>
        <v>7</v>
      </c>
      <c r="H131" s="112" t="str">
        <f aca="false">IF(G131&gt;7,"🔴 CRITICAL — Call Immediately",IF(G131&gt;0,"🟠 OVERDUE — Call Today",IF(G131=0,"🟡 DUE TODAY — Schedule Now",IF(G131&gt;-3,"🔵 Due This Week","🟢 Upcoming — On Track"))))</f>
        <v>🟠 OVERDUE — Call Today</v>
      </c>
    </row>
    <row r="132" customFormat="false" ht="15" hidden="false" customHeight="true" outlineLevel="0" collapsed="false">
      <c r="A132" s="70" t="s">
        <v>548</v>
      </c>
      <c r="B132" s="72" t="s">
        <v>549</v>
      </c>
      <c r="C132" s="72" t="s">
        <v>112</v>
      </c>
      <c r="D132" s="70" t="s">
        <v>161</v>
      </c>
      <c r="E132" s="71" t="n">
        <v>45665</v>
      </c>
      <c r="F132" s="71" t="n">
        <v>46195</v>
      </c>
      <c r="G132" s="88" t="n">
        <f aca="true">IFERROR(TODAY()-F132,0)</f>
        <v>6</v>
      </c>
      <c r="H132" s="110" t="str">
        <f aca="false">IF(G132&gt;7,"🔴 CRITICAL — Call Immediately",IF(G132&gt;0,"🟠 OVERDUE — Call Today",IF(G132=0,"🟡 DUE TODAY — Schedule Now",IF(G132&gt;-3,"🔵 Due This Week","🟢 Upcoming — On Track"))))</f>
        <v>🟠 OVERDUE — Call Today</v>
      </c>
    </row>
    <row r="133" customFormat="false" ht="15" hidden="false" customHeight="true" outlineLevel="0" collapsed="false">
      <c r="A133" s="75" t="s">
        <v>635</v>
      </c>
      <c r="B133" s="77" t="s">
        <v>636</v>
      </c>
      <c r="C133" s="77" t="s">
        <v>112</v>
      </c>
      <c r="D133" s="75" t="s">
        <v>161</v>
      </c>
      <c r="E133" s="76" t="n">
        <v>45483</v>
      </c>
      <c r="F133" s="76" t="n">
        <v>46195</v>
      </c>
      <c r="G133" s="87" t="n">
        <f aca="true">IFERROR(TODAY()-F133,0)</f>
        <v>6</v>
      </c>
      <c r="H133" s="112" t="str">
        <f aca="false">IF(G133&gt;7,"🔴 CRITICAL — Call Immediately",IF(G133&gt;0,"🟠 OVERDUE — Call Today",IF(G133=0,"🟡 DUE TODAY — Schedule Now",IF(G133&gt;-3,"🔵 Due This Week","🟢 Upcoming — On Track"))))</f>
        <v>🟠 OVERDUE — Call Today</v>
      </c>
    </row>
    <row r="134" customFormat="false" ht="15" hidden="false" customHeight="true" outlineLevel="0" collapsed="false">
      <c r="A134" s="70" t="s">
        <v>658</v>
      </c>
      <c r="B134" s="72" t="s">
        <v>659</v>
      </c>
      <c r="C134" s="72" t="s">
        <v>170</v>
      </c>
      <c r="D134" s="70" t="s">
        <v>120</v>
      </c>
      <c r="E134" s="71" t="n">
        <v>45558</v>
      </c>
      <c r="F134" s="71" t="n">
        <v>46195</v>
      </c>
      <c r="G134" s="88" t="n">
        <f aca="true">IFERROR(TODAY()-F134,0)</f>
        <v>6</v>
      </c>
      <c r="H134" s="110" t="str">
        <f aca="false">IF(G134&gt;7,"🔴 CRITICAL — Call Immediately",IF(G134&gt;0,"🟠 OVERDUE — Call Today",IF(G134=0,"🟡 DUE TODAY — Schedule Now",IF(G134&gt;-3,"🔵 Due This Week","🟢 Upcoming — On Track"))))</f>
        <v>🟠 OVERDUE — Call Today</v>
      </c>
    </row>
    <row r="135" customFormat="false" ht="15" hidden="false" customHeight="true" outlineLevel="0" collapsed="false">
      <c r="A135" s="75" t="s">
        <v>705</v>
      </c>
      <c r="B135" s="77" t="s">
        <v>706</v>
      </c>
      <c r="C135" s="77" t="s">
        <v>103</v>
      </c>
      <c r="D135" s="75" t="s">
        <v>161</v>
      </c>
      <c r="E135" s="76" t="n">
        <v>45583</v>
      </c>
      <c r="F135" s="76" t="n">
        <v>46195</v>
      </c>
      <c r="G135" s="87" t="n">
        <f aca="true">IFERROR(TODAY()-F135,0)</f>
        <v>6</v>
      </c>
      <c r="H135" s="112" t="str">
        <f aca="false">IF(G135&gt;7,"🔴 CRITICAL — Call Immediately",IF(G135&gt;0,"🟠 OVERDUE — Call Today",IF(G135=0,"🟡 DUE TODAY — Schedule Now",IF(G135&gt;-3,"🔵 Due This Week","🟢 Upcoming — On Track"))))</f>
        <v>🟠 OVERDUE — Call Today</v>
      </c>
    </row>
    <row r="136" customFormat="false" ht="15" hidden="false" customHeight="true" outlineLevel="0" collapsed="false">
      <c r="A136" s="70" t="s">
        <v>723</v>
      </c>
      <c r="B136" s="72" t="s">
        <v>724</v>
      </c>
      <c r="C136" s="72" t="s">
        <v>124</v>
      </c>
      <c r="D136" s="70" t="s">
        <v>161</v>
      </c>
      <c r="E136" s="71" t="n">
        <v>45721</v>
      </c>
      <c r="F136" s="71" t="n">
        <v>46195</v>
      </c>
      <c r="G136" s="88" t="n">
        <f aca="true">IFERROR(TODAY()-F136,0)</f>
        <v>6</v>
      </c>
      <c r="H136" s="110" t="str">
        <f aca="false">IF(G136&gt;7,"🔴 CRITICAL — Call Immediately",IF(G136&gt;0,"🟠 OVERDUE — Call Today",IF(G136=0,"🟡 DUE TODAY — Schedule Now",IF(G136&gt;-3,"🔵 Due This Week","🟢 Upcoming — On Track"))))</f>
        <v>🟠 OVERDUE — Call Today</v>
      </c>
    </row>
    <row r="137" customFormat="false" ht="15" hidden="false" customHeight="true" outlineLevel="0" collapsed="false">
      <c r="A137" s="75" t="s">
        <v>965</v>
      </c>
      <c r="B137" s="77" t="s">
        <v>966</v>
      </c>
      <c r="C137" s="77" t="s">
        <v>124</v>
      </c>
      <c r="D137" s="75" t="s">
        <v>143</v>
      </c>
      <c r="E137" s="76" t="n">
        <v>45671</v>
      </c>
      <c r="F137" s="76" t="n">
        <v>46195</v>
      </c>
      <c r="G137" s="87" t="n">
        <f aca="true">IFERROR(TODAY()-F137,0)</f>
        <v>6</v>
      </c>
      <c r="H137" s="112" t="str">
        <f aca="false">IF(G137&gt;7,"🔴 CRITICAL — Call Immediately",IF(G137&gt;0,"🟠 OVERDUE — Call Today",IF(G137=0,"🟡 DUE TODAY — Schedule Now",IF(G137&gt;-3,"🔵 Due This Week","🟢 Upcoming — On Track"))))</f>
        <v>🟠 OVERDUE — Call Today</v>
      </c>
    </row>
    <row r="138" customFormat="false" ht="15" hidden="false" customHeight="true" outlineLevel="0" collapsed="false">
      <c r="A138" s="70" t="s">
        <v>1069</v>
      </c>
      <c r="B138" s="72" t="s">
        <v>1070</v>
      </c>
      <c r="C138" s="72" t="s">
        <v>112</v>
      </c>
      <c r="D138" s="70" t="s">
        <v>94</v>
      </c>
      <c r="E138" s="71" t="n">
        <v>45619</v>
      </c>
      <c r="F138" s="71" t="n">
        <v>46195</v>
      </c>
      <c r="G138" s="88" t="n">
        <f aca="true">IFERROR(TODAY()-F138,0)</f>
        <v>6</v>
      </c>
      <c r="H138" s="110" t="str">
        <f aca="false">IF(G138&gt;7,"🔴 CRITICAL — Call Immediately",IF(G138&gt;0,"🟠 OVERDUE — Call Today",IF(G138=0,"🟡 DUE TODAY — Schedule Now",IF(G138&gt;-3,"🔵 Due This Week","🟢 Upcoming — On Track"))))</f>
        <v>🟠 OVERDUE — Call Today</v>
      </c>
    </row>
    <row r="139" customFormat="false" ht="15" hidden="false" customHeight="true" outlineLevel="0" collapsed="false">
      <c r="A139" s="75" t="s">
        <v>1103</v>
      </c>
      <c r="B139" s="77" t="s">
        <v>1104</v>
      </c>
      <c r="C139" s="77" t="s">
        <v>170</v>
      </c>
      <c r="D139" s="75" t="s">
        <v>161</v>
      </c>
      <c r="E139" s="76" t="n">
        <v>45593</v>
      </c>
      <c r="F139" s="76" t="n">
        <v>46195</v>
      </c>
      <c r="G139" s="87" t="n">
        <f aca="true">IFERROR(TODAY()-F139,0)</f>
        <v>6</v>
      </c>
      <c r="H139" s="112" t="str">
        <f aca="false">IF(G139&gt;7,"🔴 CRITICAL — Call Immediately",IF(G139&gt;0,"🟠 OVERDUE — Call Today",IF(G139=0,"🟡 DUE TODAY — Schedule Now",IF(G139&gt;-3,"🔵 Due This Week","🟢 Upcoming — On Track"))))</f>
        <v>🟠 OVERDUE — Call Today</v>
      </c>
    </row>
    <row r="140" customFormat="false" ht="15" hidden="false" customHeight="true" outlineLevel="0" collapsed="false">
      <c r="A140" s="70" t="s">
        <v>1174</v>
      </c>
      <c r="B140" s="72" t="s">
        <v>1175</v>
      </c>
      <c r="C140" s="72" t="s">
        <v>209</v>
      </c>
      <c r="D140" s="70" t="s">
        <v>104</v>
      </c>
      <c r="E140" s="71" t="n">
        <v>45500</v>
      </c>
      <c r="F140" s="71" t="n">
        <v>46195</v>
      </c>
      <c r="G140" s="88" t="n">
        <f aca="true">IFERROR(TODAY()-F140,0)</f>
        <v>6</v>
      </c>
      <c r="H140" s="110" t="str">
        <f aca="false">IF(G140&gt;7,"🔴 CRITICAL — Call Immediately",IF(G140&gt;0,"🟠 OVERDUE — Call Today",IF(G140=0,"🟡 DUE TODAY — Schedule Now",IF(G140&gt;-3,"🔵 Due This Week","🟢 Upcoming — On Track"))))</f>
        <v>🟠 OVERDUE — Call Today</v>
      </c>
    </row>
    <row r="141" customFormat="false" ht="15" hidden="false" customHeight="true" outlineLevel="0" collapsed="false">
      <c r="A141" s="75" t="s">
        <v>1194</v>
      </c>
      <c r="B141" s="77" t="s">
        <v>1195</v>
      </c>
      <c r="C141" s="77" t="s">
        <v>209</v>
      </c>
      <c r="D141" s="75" t="s">
        <v>161</v>
      </c>
      <c r="E141" s="76" t="n">
        <v>45427</v>
      </c>
      <c r="F141" s="76" t="n">
        <v>46195</v>
      </c>
      <c r="G141" s="87" t="n">
        <f aca="true">IFERROR(TODAY()-F141,0)</f>
        <v>6</v>
      </c>
      <c r="H141" s="112" t="str">
        <f aca="false">IF(G141&gt;7,"🔴 CRITICAL — Call Immediately",IF(G141&gt;0,"🟠 OVERDUE — Call Today",IF(G141=0,"🟡 DUE TODAY — Schedule Now",IF(G141&gt;-3,"🔵 Due This Week","🟢 Upcoming — On Track"))))</f>
        <v>🟠 OVERDUE — Call Today</v>
      </c>
    </row>
    <row r="142" customFormat="false" ht="15" hidden="false" customHeight="true" outlineLevel="0" collapsed="false">
      <c r="A142" s="70" t="s">
        <v>1224</v>
      </c>
      <c r="B142" s="72" t="s">
        <v>1225</v>
      </c>
      <c r="C142" s="72" t="s">
        <v>93</v>
      </c>
      <c r="D142" s="70" t="s">
        <v>104</v>
      </c>
      <c r="E142" s="71" t="n">
        <v>45665</v>
      </c>
      <c r="F142" s="71" t="n">
        <v>46195</v>
      </c>
      <c r="G142" s="88" t="n">
        <f aca="true">IFERROR(TODAY()-F142,0)</f>
        <v>6</v>
      </c>
      <c r="H142" s="110" t="str">
        <f aca="false">IF(G142&gt;7,"🔴 CRITICAL — Call Immediately",IF(G142&gt;0,"🟠 OVERDUE — Call Today",IF(G142=0,"🟡 DUE TODAY — Schedule Now",IF(G142&gt;-3,"🔵 Due This Week","🟢 Upcoming — On Track"))))</f>
        <v>🟠 OVERDUE — Call Today</v>
      </c>
    </row>
    <row r="143" customFormat="false" ht="15" hidden="false" customHeight="true" outlineLevel="0" collapsed="false">
      <c r="A143" s="75" t="s">
        <v>1574</v>
      </c>
      <c r="B143" s="77" t="s">
        <v>1195</v>
      </c>
      <c r="C143" s="77" t="s">
        <v>170</v>
      </c>
      <c r="D143" s="75" t="s">
        <v>94</v>
      </c>
      <c r="E143" s="76" t="n">
        <v>45574</v>
      </c>
      <c r="F143" s="76" t="n">
        <v>46195</v>
      </c>
      <c r="G143" s="87" t="n">
        <f aca="true">IFERROR(TODAY()-F143,0)</f>
        <v>6</v>
      </c>
      <c r="H143" s="112" t="str">
        <f aca="false">IF(G143&gt;7,"🔴 CRITICAL — Call Immediately",IF(G143&gt;0,"🟠 OVERDUE — Call Today",IF(G143=0,"🟡 DUE TODAY — Schedule Now",IF(G143&gt;-3,"🔵 Due This Week","🟢 Upcoming — On Track"))))</f>
        <v>🟠 OVERDUE — Call Today</v>
      </c>
    </row>
    <row r="144" customFormat="false" ht="15" hidden="false" customHeight="true" outlineLevel="0" collapsed="false">
      <c r="A144" s="70" t="s">
        <v>253</v>
      </c>
      <c r="B144" s="72" t="s">
        <v>254</v>
      </c>
      <c r="C144" s="72" t="s">
        <v>124</v>
      </c>
      <c r="D144" s="70" t="s">
        <v>161</v>
      </c>
      <c r="E144" s="71" t="n">
        <v>45470</v>
      </c>
      <c r="F144" s="71" t="n">
        <v>46196</v>
      </c>
      <c r="G144" s="88" t="n">
        <f aca="true">IFERROR(TODAY()-F144,0)</f>
        <v>5</v>
      </c>
      <c r="H144" s="110" t="str">
        <f aca="false">IF(G144&gt;7,"🔴 CRITICAL — Call Immediately",IF(G144&gt;0,"🟠 OVERDUE — Call Today",IF(G144=0,"🟡 DUE TODAY — Schedule Now",IF(G144&gt;-3,"🔵 Due This Week","🟢 Upcoming — On Track"))))</f>
        <v>🟠 OVERDUE — Call Today</v>
      </c>
    </row>
    <row r="145" customFormat="false" ht="15" hidden="false" customHeight="true" outlineLevel="0" collapsed="false">
      <c r="A145" s="75" t="s">
        <v>328</v>
      </c>
      <c r="B145" s="77" t="s">
        <v>329</v>
      </c>
      <c r="C145" s="77" t="s">
        <v>142</v>
      </c>
      <c r="D145" s="75" t="s">
        <v>104</v>
      </c>
      <c r="E145" s="76" t="n">
        <v>45688</v>
      </c>
      <c r="F145" s="76" t="n">
        <v>46196</v>
      </c>
      <c r="G145" s="87" t="n">
        <f aca="true">IFERROR(TODAY()-F145,0)</f>
        <v>5</v>
      </c>
      <c r="H145" s="112" t="str">
        <f aca="false">IF(G145&gt;7,"🔴 CRITICAL — Call Immediately",IF(G145&gt;0,"🟠 OVERDUE — Call Today",IF(G145=0,"🟡 DUE TODAY — Schedule Now",IF(G145&gt;-3,"🔵 Due This Week","🟢 Upcoming — On Track"))))</f>
        <v>🟠 OVERDUE — Call Today</v>
      </c>
    </row>
    <row r="146" customFormat="false" ht="15" hidden="false" customHeight="true" outlineLevel="0" collapsed="false">
      <c r="A146" s="70" t="s">
        <v>355</v>
      </c>
      <c r="B146" s="72" t="s">
        <v>356</v>
      </c>
      <c r="C146" s="72" t="s">
        <v>178</v>
      </c>
      <c r="D146" s="70" t="s">
        <v>104</v>
      </c>
      <c r="E146" s="71" t="n">
        <v>45666</v>
      </c>
      <c r="F146" s="71" t="n">
        <v>46196</v>
      </c>
      <c r="G146" s="88" t="n">
        <f aca="true">IFERROR(TODAY()-F146,0)</f>
        <v>5</v>
      </c>
      <c r="H146" s="110" t="str">
        <f aca="false">IF(G146&gt;7,"🔴 CRITICAL — Call Immediately",IF(G146&gt;0,"🟠 OVERDUE — Call Today",IF(G146=0,"🟡 DUE TODAY — Schedule Now",IF(G146&gt;-3,"🔵 Due This Week","🟢 Upcoming — On Track"))))</f>
        <v>🟠 OVERDUE — Call Today</v>
      </c>
    </row>
    <row r="147" customFormat="false" ht="15" hidden="false" customHeight="true" outlineLevel="0" collapsed="false">
      <c r="A147" s="75" t="s">
        <v>395</v>
      </c>
      <c r="B147" s="77" t="s">
        <v>396</v>
      </c>
      <c r="C147" s="77" t="s">
        <v>170</v>
      </c>
      <c r="D147" s="75" t="s">
        <v>94</v>
      </c>
      <c r="E147" s="76" t="n">
        <v>45705</v>
      </c>
      <c r="F147" s="76" t="n">
        <v>46196</v>
      </c>
      <c r="G147" s="87" t="n">
        <f aca="true">IFERROR(TODAY()-F147,0)</f>
        <v>5</v>
      </c>
      <c r="H147" s="112" t="str">
        <f aca="false">IF(G147&gt;7,"🔴 CRITICAL — Call Immediately",IF(G147&gt;0,"🟠 OVERDUE — Call Today",IF(G147=0,"🟡 DUE TODAY — Schedule Now",IF(G147&gt;-3,"🔵 Due This Week","🟢 Upcoming — On Track"))))</f>
        <v>🟠 OVERDUE — Call Today</v>
      </c>
    </row>
    <row r="148" customFormat="false" ht="15" hidden="false" customHeight="true" outlineLevel="0" collapsed="false">
      <c r="A148" s="70" t="s">
        <v>467</v>
      </c>
      <c r="B148" s="72" t="s">
        <v>468</v>
      </c>
      <c r="C148" s="72" t="s">
        <v>148</v>
      </c>
      <c r="D148" s="70" t="s">
        <v>120</v>
      </c>
      <c r="E148" s="71" t="n">
        <v>45490</v>
      </c>
      <c r="F148" s="71" t="n">
        <v>46196</v>
      </c>
      <c r="G148" s="88" t="n">
        <f aca="true">IFERROR(TODAY()-F148,0)</f>
        <v>5</v>
      </c>
      <c r="H148" s="110" t="str">
        <f aca="false">IF(G148&gt;7,"🔴 CRITICAL — Call Immediately",IF(G148&gt;0,"🟠 OVERDUE — Call Today",IF(G148=0,"🟡 DUE TODAY — Schedule Now",IF(G148&gt;-3,"🔵 Due This Week","🟢 Upcoming — On Track"))))</f>
        <v>🟠 OVERDUE — Call Today</v>
      </c>
    </row>
    <row r="149" customFormat="false" ht="15" hidden="false" customHeight="true" outlineLevel="0" collapsed="false">
      <c r="A149" s="75" t="s">
        <v>569</v>
      </c>
      <c r="B149" s="77" t="s">
        <v>570</v>
      </c>
      <c r="C149" s="77" t="s">
        <v>112</v>
      </c>
      <c r="D149" s="75" t="s">
        <v>94</v>
      </c>
      <c r="E149" s="76" t="n">
        <v>45497</v>
      </c>
      <c r="F149" s="76" t="n">
        <v>46196</v>
      </c>
      <c r="G149" s="87" t="n">
        <f aca="true">IFERROR(TODAY()-F149,0)</f>
        <v>5</v>
      </c>
      <c r="H149" s="112" t="str">
        <f aca="false">IF(G149&gt;7,"🔴 CRITICAL — Call Immediately",IF(G149&gt;0,"🟠 OVERDUE — Call Today",IF(G149=0,"🟡 DUE TODAY — Schedule Now",IF(G149&gt;-3,"🔵 Due This Week","🟢 Upcoming — On Track"))))</f>
        <v>🟠 OVERDUE — Call Today</v>
      </c>
    </row>
    <row r="150" customFormat="false" ht="15" hidden="false" customHeight="true" outlineLevel="0" collapsed="false">
      <c r="A150" s="70" t="s">
        <v>638</v>
      </c>
      <c r="B150" s="72" t="s">
        <v>639</v>
      </c>
      <c r="C150" s="72" t="s">
        <v>209</v>
      </c>
      <c r="D150" s="70" t="s">
        <v>161</v>
      </c>
      <c r="E150" s="71" t="n">
        <v>45672</v>
      </c>
      <c r="F150" s="71" t="n">
        <v>46196</v>
      </c>
      <c r="G150" s="88" t="n">
        <f aca="true">IFERROR(TODAY()-F150,0)</f>
        <v>5</v>
      </c>
      <c r="H150" s="110" t="str">
        <f aca="false">IF(G150&gt;7,"🔴 CRITICAL — Call Immediately",IF(G150&gt;0,"🟠 OVERDUE — Call Today",IF(G150=0,"🟡 DUE TODAY — Schedule Now",IF(G150&gt;-3,"🔵 Due This Week","🟢 Upcoming — On Track"))))</f>
        <v>🟠 OVERDUE — Call Today</v>
      </c>
    </row>
    <row r="151" customFormat="false" ht="15" hidden="false" customHeight="true" outlineLevel="0" collapsed="false">
      <c r="A151" s="75" t="s">
        <v>697</v>
      </c>
      <c r="B151" s="77" t="s">
        <v>698</v>
      </c>
      <c r="C151" s="77" t="s">
        <v>148</v>
      </c>
      <c r="D151" s="75" t="s">
        <v>161</v>
      </c>
      <c r="E151" s="76" t="n">
        <v>45549</v>
      </c>
      <c r="F151" s="76" t="n">
        <v>46196</v>
      </c>
      <c r="G151" s="87" t="n">
        <f aca="true">IFERROR(TODAY()-F151,0)</f>
        <v>5</v>
      </c>
      <c r="H151" s="112" t="str">
        <f aca="false">IF(G151&gt;7,"🔴 CRITICAL — Call Immediately",IF(G151&gt;0,"🟠 OVERDUE — Call Today",IF(G151=0,"🟡 DUE TODAY — Schedule Now",IF(G151&gt;-3,"🔵 Due This Week","🟢 Upcoming — On Track"))))</f>
        <v>🟠 OVERDUE — Call Today</v>
      </c>
    </row>
    <row r="152" customFormat="false" ht="15" hidden="false" customHeight="true" outlineLevel="0" collapsed="false">
      <c r="A152" s="70" t="s">
        <v>1052</v>
      </c>
      <c r="B152" s="72" t="s">
        <v>852</v>
      </c>
      <c r="C152" s="72" t="s">
        <v>191</v>
      </c>
      <c r="D152" s="70" t="s">
        <v>120</v>
      </c>
      <c r="E152" s="71" t="n">
        <v>45499</v>
      </c>
      <c r="F152" s="71" t="n">
        <v>46196</v>
      </c>
      <c r="G152" s="88" t="n">
        <f aca="true">IFERROR(TODAY()-F152,0)</f>
        <v>5</v>
      </c>
      <c r="H152" s="110" t="str">
        <f aca="false">IF(G152&gt;7,"🔴 CRITICAL — Call Immediately",IF(G152&gt;0,"🟠 OVERDUE — Call Today",IF(G152=0,"🟡 DUE TODAY — Schedule Now",IF(G152&gt;-3,"🔵 Due This Week","🟢 Upcoming — On Track"))))</f>
        <v>🟠 OVERDUE — Call Today</v>
      </c>
    </row>
    <row r="153" customFormat="false" ht="15" hidden="false" customHeight="true" outlineLevel="0" collapsed="false">
      <c r="A153" s="75" t="s">
        <v>1160</v>
      </c>
      <c r="B153" s="77" t="s">
        <v>1161</v>
      </c>
      <c r="C153" s="77" t="s">
        <v>103</v>
      </c>
      <c r="D153" s="75" t="s">
        <v>104</v>
      </c>
      <c r="E153" s="76" t="n">
        <v>45709</v>
      </c>
      <c r="F153" s="76" t="n">
        <v>46196</v>
      </c>
      <c r="G153" s="87" t="n">
        <f aca="true">IFERROR(TODAY()-F153,0)</f>
        <v>5</v>
      </c>
      <c r="H153" s="112" t="str">
        <f aca="false">IF(G153&gt;7,"🔴 CRITICAL — Call Immediately",IF(G153&gt;0,"🟠 OVERDUE — Call Today",IF(G153=0,"🟡 DUE TODAY — Schedule Now",IF(G153&gt;-3,"🔵 Due This Week","🟢 Upcoming — On Track"))))</f>
        <v>🟠 OVERDUE — Call Today</v>
      </c>
    </row>
    <row r="154" customFormat="false" ht="15" hidden="false" customHeight="true" outlineLevel="0" collapsed="false">
      <c r="A154" s="70" t="s">
        <v>1259</v>
      </c>
      <c r="B154" s="72" t="s">
        <v>1260</v>
      </c>
      <c r="C154" s="72" t="s">
        <v>178</v>
      </c>
      <c r="D154" s="70" t="s">
        <v>94</v>
      </c>
      <c r="E154" s="71" t="n">
        <v>45519</v>
      </c>
      <c r="F154" s="71" t="n">
        <v>46196</v>
      </c>
      <c r="G154" s="88" t="n">
        <f aca="true">IFERROR(TODAY()-F154,0)</f>
        <v>5</v>
      </c>
      <c r="H154" s="110" t="str">
        <f aca="false">IF(G154&gt;7,"🔴 CRITICAL — Call Immediately",IF(G154&gt;0,"🟠 OVERDUE — Call Today",IF(G154=0,"🟡 DUE TODAY — Schedule Now",IF(G154&gt;-3,"🔵 Due This Week","🟢 Upcoming — On Track"))))</f>
        <v>🟠 OVERDUE — Call Today</v>
      </c>
    </row>
    <row r="155" customFormat="false" ht="15" hidden="false" customHeight="true" outlineLevel="0" collapsed="false">
      <c r="A155" s="75" t="s">
        <v>1321</v>
      </c>
      <c r="B155" s="77" t="s">
        <v>1322</v>
      </c>
      <c r="C155" s="77" t="s">
        <v>124</v>
      </c>
      <c r="D155" s="75" t="s">
        <v>161</v>
      </c>
      <c r="E155" s="76" t="n">
        <v>45699</v>
      </c>
      <c r="F155" s="76" t="n">
        <v>46196</v>
      </c>
      <c r="G155" s="87" t="n">
        <f aca="true">IFERROR(TODAY()-F155,0)</f>
        <v>5</v>
      </c>
      <c r="H155" s="112" t="str">
        <f aca="false">IF(G155&gt;7,"🔴 CRITICAL — Call Immediately",IF(G155&gt;0,"🟠 OVERDUE — Call Today",IF(G155=0,"🟡 DUE TODAY — Schedule Now",IF(G155&gt;-3,"🔵 Due This Week","🟢 Upcoming — On Track"))))</f>
        <v>🟠 OVERDUE — Call Today</v>
      </c>
    </row>
    <row r="156" customFormat="false" ht="15" hidden="false" customHeight="true" outlineLevel="0" collapsed="false">
      <c r="A156" s="70" t="s">
        <v>1364</v>
      </c>
      <c r="B156" s="72" t="s">
        <v>1365</v>
      </c>
      <c r="C156" s="72" t="s">
        <v>148</v>
      </c>
      <c r="D156" s="70" t="s">
        <v>104</v>
      </c>
      <c r="E156" s="71" t="n">
        <v>45404</v>
      </c>
      <c r="F156" s="71" t="n">
        <v>46196</v>
      </c>
      <c r="G156" s="88" t="n">
        <f aca="true">IFERROR(TODAY()-F156,0)</f>
        <v>5</v>
      </c>
      <c r="H156" s="110" t="str">
        <f aca="false">IF(G156&gt;7,"🔴 CRITICAL — Call Immediately",IF(G156&gt;0,"🟠 OVERDUE — Call Today",IF(G156=0,"🟡 DUE TODAY — Schedule Now",IF(G156&gt;-3,"🔵 Due This Week","🟢 Upcoming — On Track"))))</f>
        <v>🟠 OVERDUE — Call Today</v>
      </c>
    </row>
    <row r="157" customFormat="false" ht="15" hidden="false" customHeight="true" outlineLevel="0" collapsed="false">
      <c r="A157" s="75" t="s">
        <v>1470</v>
      </c>
      <c r="B157" s="77" t="s">
        <v>1112</v>
      </c>
      <c r="C157" s="77" t="s">
        <v>148</v>
      </c>
      <c r="D157" s="75" t="s">
        <v>120</v>
      </c>
      <c r="E157" s="76" t="n">
        <v>45666</v>
      </c>
      <c r="F157" s="76" t="n">
        <v>46196</v>
      </c>
      <c r="G157" s="87" t="n">
        <f aca="true">IFERROR(TODAY()-F157,0)</f>
        <v>5</v>
      </c>
      <c r="H157" s="112" t="str">
        <f aca="false">IF(G157&gt;7,"🔴 CRITICAL — Call Immediately",IF(G157&gt;0,"🟠 OVERDUE — Call Today",IF(G157=0,"🟡 DUE TODAY — Schedule Now",IF(G157&gt;-3,"🔵 Due This Week","🟢 Upcoming — On Track"))))</f>
        <v>🟠 OVERDUE — Call Today</v>
      </c>
    </row>
    <row r="158" customFormat="false" ht="15" hidden="false" customHeight="true" outlineLevel="0" collapsed="false">
      <c r="A158" s="70" t="s">
        <v>1486</v>
      </c>
      <c r="B158" s="72" t="s">
        <v>1487</v>
      </c>
      <c r="C158" s="72" t="s">
        <v>178</v>
      </c>
      <c r="D158" s="70" t="s">
        <v>120</v>
      </c>
      <c r="E158" s="71" t="n">
        <v>45622</v>
      </c>
      <c r="F158" s="71" t="n">
        <v>46196</v>
      </c>
      <c r="G158" s="88" t="n">
        <f aca="true">IFERROR(TODAY()-F158,0)</f>
        <v>5</v>
      </c>
      <c r="H158" s="110" t="str">
        <f aca="false">IF(G158&gt;7,"🔴 CRITICAL — Call Immediately",IF(G158&gt;0,"🟠 OVERDUE — Call Today",IF(G158=0,"🟡 DUE TODAY — Schedule Now",IF(G158&gt;-3,"🔵 Due This Week","🟢 Upcoming — On Track"))))</f>
        <v>🟠 OVERDUE — Call Today</v>
      </c>
    </row>
    <row r="159" customFormat="false" ht="15" hidden="false" customHeight="true" outlineLevel="0" collapsed="false">
      <c r="A159" s="75" t="s">
        <v>1489</v>
      </c>
      <c r="B159" s="77" t="s">
        <v>1490</v>
      </c>
      <c r="C159" s="77" t="s">
        <v>124</v>
      </c>
      <c r="D159" s="75" t="s">
        <v>94</v>
      </c>
      <c r="E159" s="76" t="n">
        <v>45514</v>
      </c>
      <c r="F159" s="76" t="n">
        <v>46196</v>
      </c>
      <c r="G159" s="87" t="n">
        <f aca="true">IFERROR(TODAY()-F159,0)</f>
        <v>5</v>
      </c>
      <c r="H159" s="112" t="str">
        <f aca="false">IF(G159&gt;7,"🔴 CRITICAL — Call Immediately",IF(G159&gt;0,"🟠 OVERDUE — Call Today",IF(G159=0,"🟡 DUE TODAY — Schedule Now",IF(G159&gt;-3,"🔵 Due This Week","🟢 Upcoming — On Track"))))</f>
        <v>🟠 OVERDUE — Call Today</v>
      </c>
    </row>
    <row r="160" customFormat="false" ht="15" hidden="false" customHeight="true" outlineLevel="0" collapsed="false">
      <c r="A160" s="70" t="s">
        <v>1507</v>
      </c>
      <c r="B160" s="72" t="s">
        <v>308</v>
      </c>
      <c r="C160" s="72" t="s">
        <v>170</v>
      </c>
      <c r="D160" s="70" t="s">
        <v>104</v>
      </c>
      <c r="E160" s="71" t="n">
        <v>45635</v>
      </c>
      <c r="F160" s="71" t="n">
        <v>46196</v>
      </c>
      <c r="G160" s="88" t="n">
        <f aca="true">IFERROR(TODAY()-F160,0)</f>
        <v>5</v>
      </c>
      <c r="H160" s="110" t="str">
        <f aca="false">IF(G160&gt;7,"🔴 CRITICAL — Call Immediately",IF(G160&gt;0,"🟠 OVERDUE — Call Today",IF(G160=0,"🟡 DUE TODAY — Schedule Now",IF(G160&gt;-3,"🔵 Due This Week","🟢 Upcoming — On Track"))))</f>
        <v>🟠 OVERDUE — Call Today</v>
      </c>
    </row>
    <row r="161" customFormat="false" ht="15" hidden="false" customHeight="true" outlineLevel="0" collapsed="false">
      <c r="A161" s="75" t="s">
        <v>1530</v>
      </c>
      <c r="B161" s="77" t="s">
        <v>1531</v>
      </c>
      <c r="C161" s="77" t="s">
        <v>93</v>
      </c>
      <c r="D161" s="75" t="s">
        <v>104</v>
      </c>
      <c r="E161" s="76" t="n">
        <v>45716</v>
      </c>
      <c r="F161" s="76" t="n">
        <v>46196</v>
      </c>
      <c r="G161" s="87" t="n">
        <f aca="true">IFERROR(TODAY()-F161,0)</f>
        <v>5</v>
      </c>
      <c r="H161" s="112" t="str">
        <f aca="false">IF(G161&gt;7,"🔴 CRITICAL — Call Immediately",IF(G161&gt;0,"🟠 OVERDUE — Call Today",IF(G161=0,"🟡 DUE TODAY — Schedule Now",IF(G161&gt;-3,"🔵 Due This Week","🟢 Upcoming — On Track"))))</f>
        <v>🟠 OVERDUE — Call Today</v>
      </c>
    </row>
    <row r="162" customFormat="false" ht="15" hidden="false" customHeight="true" outlineLevel="0" collapsed="false">
      <c r="A162" s="70" t="s">
        <v>358</v>
      </c>
      <c r="B162" s="72" t="s">
        <v>87</v>
      </c>
      <c r="C162" s="72" t="s">
        <v>103</v>
      </c>
      <c r="D162" s="70" t="s">
        <v>120</v>
      </c>
      <c r="E162" s="71" t="n">
        <v>45592</v>
      </c>
      <c r="F162" s="71" t="n">
        <v>46197</v>
      </c>
      <c r="G162" s="88" t="n">
        <f aca="true">IFERROR(TODAY()-F162,0)</f>
        <v>4</v>
      </c>
      <c r="H162" s="110" t="str">
        <f aca="false">IF(G162&gt;7,"🔴 CRITICAL — Call Immediately",IF(G162&gt;0,"🟠 OVERDUE — Call Today",IF(G162=0,"🟡 DUE TODAY — Schedule Now",IF(G162&gt;-3,"🔵 Due This Week","🟢 Upcoming — On Track"))))</f>
        <v>🟠 OVERDUE — Call Today</v>
      </c>
    </row>
    <row r="163" customFormat="false" ht="15" hidden="false" customHeight="true" outlineLevel="0" collapsed="false">
      <c r="A163" s="75" t="s">
        <v>422</v>
      </c>
      <c r="B163" s="77" t="s">
        <v>423</v>
      </c>
      <c r="C163" s="77" t="s">
        <v>103</v>
      </c>
      <c r="D163" s="75" t="s">
        <v>104</v>
      </c>
      <c r="E163" s="76" t="n">
        <v>45495</v>
      </c>
      <c r="F163" s="76" t="n">
        <v>46197</v>
      </c>
      <c r="G163" s="87" t="n">
        <f aca="true">IFERROR(TODAY()-F163,0)</f>
        <v>4</v>
      </c>
      <c r="H163" s="112" t="str">
        <f aca="false">IF(G163&gt;7,"🔴 CRITICAL — Call Immediately",IF(G163&gt;0,"🟠 OVERDUE — Call Today",IF(G163=0,"🟡 DUE TODAY — Schedule Now",IF(G163&gt;-3,"🔵 Due This Week","🟢 Upcoming — On Track"))))</f>
        <v>🟠 OVERDUE — Call Today</v>
      </c>
    </row>
    <row r="164" customFormat="false" ht="15" hidden="false" customHeight="true" outlineLevel="0" collapsed="false">
      <c r="A164" s="70" t="s">
        <v>485</v>
      </c>
      <c r="B164" s="72" t="s">
        <v>486</v>
      </c>
      <c r="C164" s="72" t="s">
        <v>148</v>
      </c>
      <c r="D164" s="70" t="s">
        <v>143</v>
      </c>
      <c r="E164" s="71" t="n">
        <v>45677</v>
      </c>
      <c r="F164" s="71" t="n">
        <v>46197</v>
      </c>
      <c r="G164" s="88" t="n">
        <f aca="true">IFERROR(TODAY()-F164,0)</f>
        <v>4</v>
      </c>
      <c r="H164" s="110" t="str">
        <f aca="false">IF(G164&gt;7,"🔴 CRITICAL — Call Immediately",IF(G164&gt;0,"🟠 OVERDUE — Call Today",IF(G164=0,"🟡 DUE TODAY — Schedule Now",IF(G164&gt;-3,"🔵 Due This Week","🟢 Upcoming — On Track"))))</f>
        <v>🟠 OVERDUE — Call Today</v>
      </c>
    </row>
    <row r="165" customFormat="false" ht="15" hidden="false" customHeight="true" outlineLevel="0" collapsed="false">
      <c r="A165" s="75" t="s">
        <v>661</v>
      </c>
      <c r="B165" s="77" t="s">
        <v>662</v>
      </c>
      <c r="C165" s="77" t="s">
        <v>93</v>
      </c>
      <c r="D165" s="75" t="s">
        <v>104</v>
      </c>
      <c r="E165" s="76" t="n">
        <v>45458</v>
      </c>
      <c r="F165" s="76" t="n">
        <v>46197</v>
      </c>
      <c r="G165" s="87" t="n">
        <f aca="true">IFERROR(TODAY()-F165,0)</f>
        <v>4</v>
      </c>
      <c r="H165" s="112" t="str">
        <f aca="false">IF(G165&gt;7,"🔴 CRITICAL — Call Immediately",IF(G165&gt;0,"🟠 OVERDUE — Call Today",IF(G165=0,"🟡 DUE TODAY — Schedule Now",IF(G165&gt;-3,"🔵 Due This Week","🟢 Upcoming — On Track"))))</f>
        <v>🟠 OVERDUE — Call Today</v>
      </c>
    </row>
    <row r="166" customFormat="false" ht="15" hidden="false" customHeight="true" outlineLevel="0" collapsed="false">
      <c r="A166" s="70" t="s">
        <v>760</v>
      </c>
      <c r="B166" s="72" t="s">
        <v>761</v>
      </c>
      <c r="C166" s="72" t="s">
        <v>209</v>
      </c>
      <c r="D166" s="70" t="s">
        <v>161</v>
      </c>
      <c r="E166" s="71" t="n">
        <v>45693</v>
      </c>
      <c r="F166" s="71" t="n">
        <v>46197</v>
      </c>
      <c r="G166" s="88" t="n">
        <f aca="true">IFERROR(TODAY()-F166,0)</f>
        <v>4</v>
      </c>
      <c r="H166" s="110" t="str">
        <f aca="false">IF(G166&gt;7,"🔴 CRITICAL — Call Immediately",IF(G166&gt;0,"🟠 OVERDUE — Call Today",IF(G166=0,"🟡 DUE TODAY — Schedule Now",IF(G166&gt;-3,"🔵 Due This Week","🟢 Upcoming — On Track"))))</f>
        <v>🟠 OVERDUE — Call Today</v>
      </c>
    </row>
    <row r="167" customFormat="false" ht="15" hidden="false" customHeight="true" outlineLevel="0" collapsed="false">
      <c r="A167" s="75" t="s">
        <v>772</v>
      </c>
      <c r="B167" s="77" t="s">
        <v>773</v>
      </c>
      <c r="C167" s="77" t="s">
        <v>124</v>
      </c>
      <c r="D167" s="75" t="s">
        <v>161</v>
      </c>
      <c r="E167" s="76" t="n">
        <v>45477</v>
      </c>
      <c r="F167" s="76" t="n">
        <v>46197</v>
      </c>
      <c r="G167" s="87" t="n">
        <f aca="true">IFERROR(TODAY()-F167,0)</f>
        <v>4</v>
      </c>
      <c r="H167" s="112" t="str">
        <f aca="false">IF(G167&gt;7,"🔴 CRITICAL — Call Immediately",IF(G167&gt;0,"🟠 OVERDUE — Call Today",IF(G167=0,"🟡 DUE TODAY — Schedule Now",IF(G167&gt;-3,"🔵 Due This Week","🟢 Upcoming — On Track"))))</f>
        <v>🟠 OVERDUE — Call Today</v>
      </c>
    </row>
    <row r="168" customFormat="false" ht="15" hidden="false" customHeight="true" outlineLevel="0" collapsed="false">
      <c r="A168" s="70" t="s">
        <v>786</v>
      </c>
      <c r="B168" s="72" t="s">
        <v>787</v>
      </c>
      <c r="C168" s="72" t="s">
        <v>178</v>
      </c>
      <c r="D168" s="70" t="s">
        <v>120</v>
      </c>
      <c r="E168" s="71" t="n">
        <v>45501</v>
      </c>
      <c r="F168" s="71" t="n">
        <v>46197</v>
      </c>
      <c r="G168" s="88" t="n">
        <f aca="true">IFERROR(TODAY()-F168,0)</f>
        <v>4</v>
      </c>
      <c r="H168" s="110" t="str">
        <f aca="false">IF(G168&gt;7,"🔴 CRITICAL — Call Immediately",IF(G168&gt;0,"🟠 OVERDUE — Call Today",IF(G168=0,"🟡 DUE TODAY — Schedule Now",IF(G168&gt;-3,"🔵 Due This Week","🟢 Upcoming — On Track"))))</f>
        <v>🟠 OVERDUE — Call Today</v>
      </c>
    </row>
    <row r="169" customFormat="false" ht="15" hidden="false" customHeight="true" outlineLevel="0" collapsed="false">
      <c r="A169" s="75" t="s">
        <v>795</v>
      </c>
      <c r="B169" s="77" t="s">
        <v>87</v>
      </c>
      <c r="C169" s="77" t="s">
        <v>124</v>
      </c>
      <c r="D169" s="75" t="s">
        <v>161</v>
      </c>
      <c r="E169" s="76" t="n">
        <v>45667</v>
      </c>
      <c r="F169" s="76" t="n">
        <v>46197</v>
      </c>
      <c r="G169" s="87" t="n">
        <f aca="true">IFERROR(TODAY()-F169,0)</f>
        <v>4</v>
      </c>
      <c r="H169" s="112" t="str">
        <f aca="false">IF(G169&gt;7,"🔴 CRITICAL — Call Immediately",IF(G169&gt;0,"🟠 OVERDUE — Call Today",IF(G169=0,"🟡 DUE TODAY — Schedule Now",IF(G169&gt;-3,"🔵 Due This Week","🟢 Upcoming — On Track"))))</f>
        <v>🟠 OVERDUE — Call Today</v>
      </c>
    </row>
    <row r="170" customFormat="false" ht="15" hidden="false" customHeight="true" outlineLevel="0" collapsed="false">
      <c r="A170" s="70" t="s">
        <v>897</v>
      </c>
      <c r="B170" s="72" t="s">
        <v>468</v>
      </c>
      <c r="C170" s="72" t="s">
        <v>178</v>
      </c>
      <c r="D170" s="70" t="s">
        <v>104</v>
      </c>
      <c r="E170" s="71" t="n">
        <v>45561</v>
      </c>
      <c r="F170" s="71" t="n">
        <v>46197</v>
      </c>
      <c r="G170" s="88" t="n">
        <f aca="true">IFERROR(TODAY()-F170,0)</f>
        <v>4</v>
      </c>
      <c r="H170" s="110" t="str">
        <f aca="false">IF(G170&gt;7,"🔴 CRITICAL — Call Immediately",IF(G170&gt;0,"🟠 OVERDUE — Call Today",IF(G170=0,"🟡 DUE TODAY — Schedule Now",IF(G170&gt;-3,"🔵 Due This Week","🟢 Upcoming — On Track"))))</f>
        <v>🟠 OVERDUE — Call Today</v>
      </c>
    </row>
    <row r="171" customFormat="false" ht="15" hidden="false" customHeight="true" outlineLevel="0" collapsed="false">
      <c r="A171" s="75" t="s">
        <v>929</v>
      </c>
      <c r="B171" s="77" t="s">
        <v>930</v>
      </c>
      <c r="C171" s="77" t="s">
        <v>142</v>
      </c>
      <c r="D171" s="75" t="s">
        <v>104</v>
      </c>
      <c r="E171" s="76" t="n">
        <v>45677</v>
      </c>
      <c r="F171" s="76" t="n">
        <v>46197</v>
      </c>
      <c r="G171" s="87" t="n">
        <f aca="true">IFERROR(TODAY()-F171,0)</f>
        <v>4</v>
      </c>
      <c r="H171" s="112" t="str">
        <f aca="false">IF(G171&gt;7,"🔴 CRITICAL — Call Immediately",IF(G171&gt;0,"🟠 OVERDUE — Call Today",IF(G171=0,"🟡 DUE TODAY — Schedule Now",IF(G171&gt;-3,"🔵 Due This Week","🟢 Upcoming — On Track"))))</f>
        <v>🟠 OVERDUE — Call Today</v>
      </c>
    </row>
    <row r="172" customFormat="false" ht="15" hidden="false" customHeight="true" outlineLevel="0" collapsed="false">
      <c r="A172" s="70" t="s">
        <v>1092</v>
      </c>
      <c r="B172" s="72" t="s">
        <v>1093</v>
      </c>
      <c r="C172" s="72" t="s">
        <v>148</v>
      </c>
      <c r="D172" s="70" t="s">
        <v>143</v>
      </c>
      <c r="E172" s="71" t="n">
        <v>45642</v>
      </c>
      <c r="F172" s="71" t="n">
        <v>46197</v>
      </c>
      <c r="G172" s="88" t="n">
        <f aca="true">IFERROR(TODAY()-F172,0)</f>
        <v>4</v>
      </c>
      <c r="H172" s="110" t="str">
        <f aca="false">IF(G172&gt;7,"🔴 CRITICAL — Call Immediately",IF(G172&gt;0,"🟠 OVERDUE — Call Today",IF(G172=0,"🟡 DUE TODAY — Schedule Now",IF(G172&gt;-3,"🔵 Due This Week","🟢 Upcoming — On Track"))))</f>
        <v>🟠 OVERDUE — Call Today</v>
      </c>
    </row>
    <row r="173" customFormat="false" ht="15" hidden="false" customHeight="true" outlineLevel="0" collapsed="false">
      <c r="A173" s="75" t="s">
        <v>1168</v>
      </c>
      <c r="B173" s="77" t="s">
        <v>1169</v>
      </c>
      <c r="C173" s="77" t="s">
        <v>93</v>
      </c>
      <c r="D173" s="75" t="s">
        <v>104</v>
      </c>
      <c r="E173" s="76" t="n">
        <v>45684</v>
      </c>
      <c r="F173" s="76" t="n">
        <v>46197</v>
      </c>
      <c r="G173" s="87" t="n">
        <f aca="true">IFERROR(TODAY()-F173,0)</f>
        <v>4</v>
      </c>
      <c r="H173" s="112" t="str">
        <f aca="false">IF(G173&gt;7,"🔴 CRITICAL — Call Immediately",IF(G173&gt;0,"🟠 OVERDUE — Call Today",IF(G173=0,"🟡 DUE TODAY — Schedule Now",IF(G173&gt;-3,"🔵 Due This Week","🟢 Upcoming — On Track"))))</f>
        <v>🟠 OVERDUE — Call Today</v>
      </c>
    </row>
    <row r="174" customFormat="false" ht="15" hidden="false" customHeight="true" outlineLevel="0" collapsed="false">
      <c r="A174" s="70" t="s">
        <v>1326</v>
      </c>
      <c r="B174" s="72" t="s">
        <v>1327</v>
      </c>
      <c r="C174" s="72" t="s">
        <v>112</v>
      </c>
      <c r="D174" s="70" t="s">
        <v>120</v>
      </c>
      <c r="E174" s="71" t="n">
        <v>45608</v>
      </c>
      <c r="F174" s="71" t="n">
        <v>46197</v>
      </c>
      <c r="G174" s="88" t="n">
        <f aca="true">IFERROR(TODAY()-F174,0)</f>
        <v>4</v>
      </c>
      <c r="H174" s="110" t="str">
        <f aca="false">IF(G174&gt;7,"🔴 CRITICAL — Call Immediately",IF(G174&gt;0,"🟠 OVERDUE — Call Today",IF(G174=0,"🟡 DUE TODAY — Schedule Now",IF(G174&gt;-3,"🔵 Due This Week","🟢 Upcoming — On Track"))))</f>
        <v>🟠 OVERDUE — Call Today</v>
      </c>
    </row>
    <row r="175" customFormat="false" ht="15" hidden="false" customHeight="true" outlineLevel="0" collapsed="false">
      <c r="A175" s="75" t="s">
        <v>1427</v>
      </c>
      <c r="B175" s="77" t="s">
        <v>1428</v>
      </c>
      <c r="C175" s="77" t="s">
        <v>170</v>
      </c>
      <c r="D175" s="75" t="s">
        <v>120</v>
      </c>
      <c r="E175" s="76" t="n">
        <v>45583</v>
      </c>
      <c r="F175" s="76" t="n">
        <v>46197</v>
      </c>
      <c r="G175" s="87" t="n">
        <f aca="true">IFERROR(TODAY()-F175,0)</f>
        <v>4</v>
      </c>
      <c r="H175" s="112" t="str">
        <f aca="false">IF(G175&gt;7,"🔴 CRITICAL — Call Immediately",IF(G175&gt;0,"🟠 OVERDUE — Call Today",IF(G175=0,"🟡 DUE TODAY — Schedule Now",IF(G175&gt;-3,"🔵 Due This Week","🟢 Upcoming — On Track"))))</f>
        <v>🟠 OVERDUE — Call Today</v>
      </c>
    </row>
    <row r="176" customFormat="false" ht="15" hidden="false" customHeight="true" outlineLevel="0" collapsed="false">
      <c r="A176" s="70" t="s">
        <v>1432</v>
      </c>
      <c r="B176" s="72" t="s">
        <v>1433</v>
      </c>
      <c r="C176" s="72" t="s">
        <v>170</v>
      </c>
      <c r="D176" s="70" t="s">
        <v>94</v>
      </c>
      <c r="E176" s="71" t="n">
        <v>45674</v>
      </c>
      <c r="F176" s="71" t="n">
        <v>46197</v>
      </c>
      <c r="G176" s="88" t="n">
        <f aca="true">IFERROR(TODAY()-F176,0)</f>
        <v>4</v>
      </c>
      <c r="H176" s="110" t="str">
        <f aca="false">IF(G176&gt;7,"🔴 CRITICAL — Call Immediately",IF(G176&gt;0,"🟠 OVERDUE — Call Today",IF(G176=0,"🟡 DUE TODAY — Schedule Now",IF(G176&gt;-3,"🔵 Due This Week","🟢 Upcoming — On Track"))))</f>
        <v>🟠 OVERDUE — Call Today</v>
      </c>
    </row>
    <row r="177" customFormat="false" ht="15" hidden="false" customHeight="true" outlineLevel="0" collapsed="false">
      <c r="A177" s="75" t="s">
        <v>1472</v>
      </c>
      <c r="B177" s="77" t="s">
        <v>1327</v>
      </c>
      <c r="C177" s="77" t="s">
        <v>178</v>
      </c>
      <c r="D177" s="75" t="s">
        <v>94</v>
      </c>
      <c r="E177" s="76" t="n">
        <v>45694</v>
      </c>
      <c r="F177" s="76" t="n">
        <v>46197</v>
      </c>
      <c r="G177" s="87" t="n">
        <f aca="true">IFERROR(TODAY()-F177,0)</f>
        <v>4</v>
      </c>
      <c r="H177" s="112" t="str">
        <f aca="false">IF(G177&gt;7,"🔴 CRITICAL — Call Immediately",IF(G177&gt;0,"🟠 OVERDUE — Call Today",IF(G177=0,"🟡 DUE TODAY — Schedule Now",IF(G177&gt;-3,"🔵 Due This Week","🟢 Upcoming — On Track"))))</f>
        <v>🟠 OVERDUE — Call Today</v>
      </c>
    </row>
    <row r="178" customFormat="false" ht="15" hidden="false" customHeight="true" outlineLevel="0" collapsed="false">
      <c r="A178" s="70" t="s">
        <v>244</v>
      </c>
      <c r="B178" s="72" t="s">
        <v>245</v>
      </c>
      <c r="C178" s="72" t="s">
        <v>178</v>
      </c>
      <c r="D178" s="70" t="s">
        <v>161</v>
      </c>
      <c r="E178" s="71" t="n">
        <v>45660</v>
      </c>
      <c r="F178" s="71" t="n">
        <v>46198</v>
      </c>
      <c r="G178" s="88" t="n">
        <f aca="true">IFERROR(TODAY()-F178,0)</f>
        <v>3</v>
      </c>
      <c r="H178" s="110" t="str">
        <f aca="false">IF(G178&gt;7,"🔴 CRITICAL — Call Immediately",IF(G178&gt;0,"🟠 OVERDUE — Call Today",IF(G178=0,"🟡 DUE TODAY — Schedule Now",IF(G178&gt;-3,"🔵 Due This Week","🟢 Upcoming — On Track"))))</f>
        <v>🟠 OVERDUE — Call Today</v>
      </c>
    </row>
    <row r="179" customFormat="false" ht="15" hidden="false" customHeight="true" outlineLevel="0" collapsed="false">
      <c r="A179" s="75" t="s">
        <v>310</v>
      </c>
      <c r="B179" s="77" t="s">
        <v>311</v>
      </c>
      <c r="C179" s="77" t="s">
        <v>148</v>
      </c>
      <c r="D179" s="75" t="s">
        <v>143</v>
      </c>
      <c r="E179" s="76" t="n">
        <v>45671</v>
      </c>
      <c r="F179" s="76" t="n">
        <v>46198</v>
      </c>
      <c r="G179" s="87" t="n">
        <f aca="true">IFERROR(TODAY()-F179,0)</f>
        <v>3</v>
      </c>
      <c r="H179" s="112" t="str">
        <f aca="false">IF(G179&gt;7,"🔴 CRITICAL — Call Immediately",IF(G179&gt;0,"🟠 OVERDUE — Call Today",IF(G179=0,"🟡 DUE TODAY — Schedule Now",IF(G179&gt;-3,"🔵 Due This Week","🟢 Upcoming — On Track"))))</f>
        <v>🟠 OVERDUE — Call Today</v>
      </c>
    </row>
    <row r="180" customFormat="false" ht="15" hidden="false" customHeight="true" outlineLevel="0" collapsed="false">
      <c r="A180" s="70" t="s">
        <v>442</v>
      </c>
      <c r="B180" s="72" t="s">
        <v>443</v>
      </c>
      <c r="C180" s="72" t="s">
        <v>209</v>
      </c>
      <c r="D180" s="70" t="s">
        <v>143</v>
      </c>
      <c r="E180" s="71" t="n">
        <v>45726</v>
      </c>
      <c r="F180" s="71" t="n">
        <v>46198</v>
      </c>
      <c r="G180" s="88" t="n">
        <f aca="true">IFERROR(TODAY()-F180,0)</f>
        <v>3</v>
      </c>
      <c r="H180" s="110" t="str">
        <f aca="false">IF(G180&gt;7,"🔴 CRITICAL — Call Immediately",IF(G180&gt;0,"🟠 OVERDUE — Call Today",IF(G180=0,"🟡 DUE TODAY — Schedule Now",IF(G180&gt;-3,"🔵 Due This Week","🟢 Upcoming — On Track"))))</f>
        <v>🟠 OVERDUE — Call Today</v>
      </c>
    </row>
    <row r="181" customFormat="false" ht="15" hidden="false" customHeight="true" outlineLevel="0" collapsed="false">
      <c r="A181" s="75" t="s">
        <v>516</v>
      </c>
      <c r="B181" s="77" t="s">
        <v>517</v>
      </c>
      <c r="C181" s="77" t="s">
        <v>103</v>
      </c>
      <c r="D181" s="75" t="s">
        <v>104</v>
      </c>
      <c r="E181" s="76" t="n">
        <v>45625</v>
      </c>
      <c r="F181" s="76" t="n">
        <v>46198</v>
      </c>
      <c r="G181" s="87" t="n">
        <f aca="true">IFERROR(TODAY()-F181,0)</f>
        <v>3</v>
      </c>
      <c r="H181" s="112" t="str">
        <f aca="false">IF(G181&gt;7,"🔴 CRITICAL — Call Immediately",IF(G181&gt;0,"🟠 OVERDUE — Call Today",IF(G181=0,"🟡 DUE TODAY — Schedule Now",IF(G181&gt;-3,"🔵 Due This Week","🟢 Upcoming — On Track"))))</f>
        <v>🟠 OVERDUE — Call Today</v>
      </c>
    </row>
    <row r="182" customFormat="false" ht="15" hidden="false" customHeight="true" outlineLevel="0" collapsed="false">
      <c r="A182" s="70" t="s">
        <v>525</v>
      </c>
      <c r="B182" s="72" t="s">
        <v>526</v>
      </c>
      <c r="C182" s="72" t="s">
        <v>178</v>
      </c>
      <c r="D182" s="70" t="s">
        <v>143</v>
      </c>
      <c r="E182" s="71" t="n">
        <v>45590</v>
      </c>
      <c r="F182" s="71" t="n">
        <v>46198</v>
      </c>
      <c r="G182" s="88" t="n">
        <f aca="true">IFERROR(TODAY()-F182,0)</f>
        <v>3</v>
      </c>
      <c r="H182" s="110" t="str">
        <f aca="false">IF(G182&gt;7,"🔴 CRITICAL — Call Immediately",IF(G182&gt;0,"🟠 OVERDUE — Call Today",IF(G182=0,"🟡 DUE TODAY — Schedule Now",IF(G182&gt;-3,"🔵 Due This Week","🟢 Upcoming — On Track"))))</f>
        <v>🟠 OVERDUE — Call Today</v>
      </c>
    </row>
    <row r="183" customFormat="false" ht="15" hidden="false" customHeight="true" outlineLevel="0" collapsed="false">
      <c r="A183" s="75" t="s">
        <v>575</v>
      </c>
      <c r="B183" s="77" t="s">
        <v>576</v>
      </c>
      <c r="C183" s="77" t="s">
        <v>170</v>
      </c>
      <c r="D183" s="75" t="s">
        <v>104</v>
      </c>
      <c r="E183" s="76" t="n">
        <v>45636</v>
      </c>
      <c r="F183" s="76" t="n">
        <v>46198</v>
      </c>
      <c r="G183" s="87" t="n">
        <f aca="true">IFERROR(TODAY()-F183,0)</f>
        <v>3</v>
      </c>
      <c r="H183" s="112" t="str">
        <f aca="false">IF(G183&gt;7,"🔴 CRITICAL — Call Immediately",IF(G183&gt;0,"🟠 OVERDUE — Call Today",IF(G183=0,"🟡 DUE TODAY — Schedule Now",IF(G183&gt;-3,"🔵 Due This Week","🟢 Upcoming — On Track"))))</f>
        <v>🟠 OVERDUE — Call Today</v>
      </c>
    </row>
    <row r="184" customFormat="false" ht="15" hidden="false" customHeight="true" outlineLevel="0" collapsed="false">
      <c r="A184" s="70" t="s">
        <v>584</v>
      </c>
      <c r="B184" s="72" t="s">
        <v>585</v>
      </c>
      <c r="C184" s="72" t="s">
        <v>112</v>
      </c>
      <c r="D184" s="70" t="s">
        <v>104</v>
      </c>
      <c r="E184" s="71" t="n">
        <v>45550</v>
      </c>
      <c r="F184" s="71" t="n">
        <v>46198</v>
      </c>
      <c r="G184" s="88" t="n">
        <f aca="true">IFERROR(TODAY()-F184,0)</f>
        <v>3</v>
      </c>
      <c r="H184" s="110" t="str">
        <f aca="false">IF(G184&gt;7,"🔴 CRITICAL — Call Immediately",IF(G184&gt;0,"🟠 OVERDUE — Call Today",IF(G184=0,"🟡 DUE TODAY — Schedule Now",IF(G184&gt;-3,"🔵 Due This Week","🟢 Upcoming — On Track"))))</f>
        <v>🟠 OVERDUE — Call Today</v>
      </c>
    </row>
    <row r="185" customFormat="false" ht="15" hidden="false" customHeight="true" outlineLevel="0" collapsed="false">
      <c r="A185" s="75" t="s">
        <v>644</v>
      </c>
      <c r="B185" s="77" t="s">
        <v>645</v>
      </c>
      <c r="C185" s="77" t="s">
        <v>170</v>
      </c>
      <c r="D185" s="75" t="s">
        <v>120</v>
      </c>
      <c r="E185" s="76" t="n">
        <v>45685</v>
      </c>
      <c r="F185" s="76" t="n">
        <v>46198</v>
      </c>
      <c r="G185" s="87" t="n">
        <f aca="true">IFERROR(TODAY()-F185,0)</f>
        <v>3</v>
      </c>
      <c r="H185" s="112" t="str">
        <f aca="false">IF(G185&gt;7,"🔴 CRITICAL — Call Immediately",IF(G185&gt;0,"🟠 OVERDUE — Call Today",IF(G185=0,"🟡 DUE TODAY — Schedule Now",IF(G185&gt;-3,"🔵 Due This Week","🟢 Upcoming — On Track"))))</f>
        <v>🟠 OVERDUE — Call Today</v>
      </c>
    </row>
    <row r="186" customFormat="false" ht="15" hidden="false" customHeight="true" outlineLevel="0" collapsed="false">
      <c r="A186" s="70" t="s">
        <v>664</v>
      </c>
      <c r="B186" s="72" t="s">
        <v>665</v>
      </c>
      <c r="C186" s="72" t="s">
        <v>148</v>
      </c>
      <c r="D186" s="70" t="s">
        <v>120</v>
      </c>
      <c r="E186" s="71" t="n">
        <v>45720</v>
      </c>
      <c r="F186" s="71" t="n">
        <v>46198</v>
      </c>
      <c r="G186" s="88" t="n">
        <f aca="true">IFERROR(TODAY()-F186,0)</f>
        <v>3</v>
      </c>
      <c r="H186" s="110" t="str">
        <f aca="false">IF(G186&gt;7,"🔴 CRITICAL — Call Immediately",IF(G186&gt;0,"🟠 OVERDUE — Call Today",IF(G186=0,"🟡 DUE TODAY — Schedule Now",IF(G186&gt;-3,"🔵 Due This Week","🟢 Upcoming — On Track"))))</f>
        <v>🟠 OVERDUE — Call Today</v>
      </c>
    </row>
    <row r="187" customFormat="false" ht="15" hidden="false" customHeight="true" outlineLevel="0" collapsed="false">
      <c r="A187" s="75" t="s">
        <v>667</v>
      </c>
      <c r="B187" s="77" t="s">
        <v>668</v>
      </c>
      <c r="C187" s="77" t="s">
        <v>112</v>
      </c>
      <c r="D187" s="75" t="s">
        <v>94</v>
      </c>
      <c r="E187" s="76" t="n">
        <v>45713</v>
      </c>
      <c r="F187" s="76" t="n">
        <v>46198</v>
      </c>
      <c r="G187" s="87" t="n">
        <f aca="true">IFERROR(TODAY()-F187,0)</f>
        <v>3</v>
      </c>
      <c r="H187" s="112" t="str">
        <f aca="false">IF(G187&gt;7,"🔴 CRITICAL — Call Immediately",IF(G187&gt;0,"🟠 OVERDUE — Call Today",IF(G187=0,"🟡 DUE TODAY — Schedule Now",IF(G187&gt;-3,"🔵 Due This Week","🟢 Upcoming — On Track"))))</f>
        <v>🟠 OVERDUE — Call Today</v>
      </c>
    </row>
    <row r="188" customFormat="false" ht="15" hidden="false" customHeight="true" outlineLevel="0" collapsed="false">
      <c r="A188" s="70" t="s">
        <v>766</v>
      </c>
      <c r="B188" s="72" t="s">
        <v>767</v>
      </c>
      <c r="C188" s="72" t="s">
        <v>112</v>
      </c>
      <c r="D188" s="70" t="s">
        <v>143</v>
      </c>
      <c r="E188" s="71" t="n">
        <v>45631</v>
      </c>
      <c r="F188" s="71" t="n">
        <v>46198</v>
      </c>
      <c r="G188" s="88" t="n">
        <f aca="true">IFERROR(TODAY()-F188,0)</f>
        <v>3</v>
      </c>
      <c r="H188" s="110" t="str">
        <f aca="false">IF(G188&gt;7,"🔴 CRITICAL — Call Immediately",IF(G188&gt;0,"🟠 OVERDUE — Call Today",IF(G188=0,"🟡 DUE TODAY — Schedule Now",IF(G188&gt;-3,"🔵 Due This Week","🟢 Upcoming — On Track"))))</f>
        <v>🟠 OVERDUE — Call Today</v>
      </c>
    </row>
    <row r="189" customFormat="false" ht="15" hidden="false" customHeight="true" outlineLevel="0" collapsed="false">
      <c r="A189" s="75" t="s">
        <v>806</v>
      </c>
      <c r="B189" s="77" t="s">
        <v>807</v>
      </c>
      <c r="C189" s="77" t="s">
        <v>93</v>
      </c>
      <c r="D189" s="75" t="s">
        <v>104</v>
      </c>
      <c r="E189" s="76" t="n">
        <v>45444</v>
      </c>
      <c r="F189" s="76" t="n">
        <v>46198</v>
      </c>
      <c r="G189" s="87" t="n">
        <f aca="true">IFERROR(TODAY()-F189,0)</f>
        <v>3</v>
      </c>
      <c r="H189" s="112" t="str">
        <f aca="false">IF(G189&gt;7,"🔴 CRITICAL — Call Immediately",IF(G189&gt;0,"🟠 OVERDUE — Call Today",IF(G189=0,"🟡 DUE TODAY — Schedule Now",IF(G189&gt;-3,"🔵 Due This Week","🟢 Upcoming — On Track"))))</f>
        <v>🟠 OVERDUE — Call Today</v>
      </c>
    </row>
    <row r="190" customFormat="false" ht="15" hidden="false" customHeight="true" outlineLevel="0" collapsed="false">
      <c r="A190" s="70" t="s">
        <v>876</v>
      </c>
      <c r="B190" s="72" t="s">
        <v>877</v>
      </c>
      <c r="C190" s="72" t="s">
        <v>170</v>
      </c>
      <c r="D190" s="70" t="s">
        <v>94</v>
      </c>
      <c r="E190" s="71" t="n">
        <v>45470</v>
      </c>
      <c r="F190" s="71" t="n">
        <v>46198</v>
      </c>
      <c r="G190" s="88" t="n">
        <f aca="true">IFERROR(TODAY()-F190,0)</f>
        <v>3</v>
      </c>
      <c r="H190" s="110" t="str">
        <f aca="false">IF(G190&gt;7,"🔴 CRITICAL — Call Immediately",IF(G190&gt;0,"🟠 OVERDUE — Call Today",IF(G190=0,"🟡 DUE TODAY — Schedule Now",IF(G190&gt;-3,"🔵 Due This Week","🟢 Upcoming — On Track"))))</f>
        <v>🟠 OVERDUE — Call Today</v>
      </c>
    </row>
    <row r="191" customFormat="false" ht="15" hidden="false" customHeight="true" outlineLevel="0" collapsed="false">
      <c r="A191" s="75" t="s">
        <v>1221</v>
      </c>
      <c r="B191" s="77" t="s">
        <v>1222</v>
      </c>
      <c r="C191" s="77" t="s">
        <v>191</v>
      </c>
      <c r="D191" s="75" t="s">
        <v>104</v>
      </c>
      <c r="E191" s="76" t="n">
        <v>45633</v>
      </c>
      <c r="F191" s="76" t="n">
        <v>46198</v>
      </c>
      <c r="G191" s="87" t="n">
        <f aca="true">IFERROR(TODAY()-F191,0)</f>
        <v>3</v>
      </c>
      <c r="H191" s="112" t="str">
        <f aca="false">IF(G191&gt;7,"🔴 CRITICAL — Call Immediately",IF(G191&gt;0,"🟠 OVERDUE — Call Today",IF(G191=0,"🟡 DUE TODAY — Schedule Now",IF(G191&gt;-3,"🔵 Due This Week","🟢 Upcoming — On Track"))))</f>
        <v>🟠 OVERDUE — Call Today</v>
      </c>
    </row>
    <row r="192" customFormat="false" ht="15" hidden="false" customHeight="true" outlineLevel="0" collapsed="false">
      <c r="A192" s="70" t="s">
        <v>1227</v>
      </c>
      <c r="B192" s="72" t="s">
        <v>1228</v>
      </c>
      <c r="C192" s="72" t="s">
        <v>124</v>
      </c>
      <c r="D192" s="70" t="s">
        <v>94</v>
      </c>
      <c r="E192" s="71" t="n">
        <v>45548</v>
      </c>
      <c r="F192" s="71" t="n">
        <v>46198</v>
      </c>
      <c r="G192" s="88" t="n">
        <f aca="true">IFERROR(TODAY()-F192,0)</f>
        <v>3</v>
      </c>
      <c r="H192" s="110" t="str">
        <f aca="false">IF(G192&gt;7,"🔴 CRITICAL — Call Immediately",IF(G192&gt;0,"🟠 OVERDUE — Call Today",IF(G192=0,"🟡 DUE TODAY — Schedule Now",IF(G192&gt;-3,"🔵 Due This Week","🟢 Upcoming — On Track"))))</f>
        <v>🟠 OVERDUE — Call Today</v>
      </c>
    </row>
    <row r="193" customFormat="false" ht="15" hidden="false" customHeight="true" outlineLevel="0" collapsed="false">
      <c r="A193" s="75" t="s">
        <v>1273</v>
      </c>
      <c r="B193" s="77" t="s">
        <v>1274</v>
      </c>
      <c r="C193" s="77" t="s">
        <v>124</v>
      </c>
      <c r="D193" s="75" t="s">
        <v>143</v>
      </c>
      <c r="E193" s="76" t="n">
        <v>45437</v>
      </c>
      <c r="F193" s="76" t="n">
        <v>46198</v>
      </c>
      <c r="G193" s="87" t="n">
        <f aca="true">IFERROR(TODAY()-F193,0)</f>
        <v>3</v>
      </c>
      <c r="H193" s="112" t="str">
        <f aca="false">IF(G193&gt;7,"🔴 CRITICAL — Call Immediately",IF(G193&gt;0,"🟠 OVERDUE — Call Today",IF(G193=0,"🟡 DUE TODAY — Schedule Now",IF(G193&gt;-3,"🔵 Due This Week","🟢 Upcoming — On Track"))))</f>
        <v>🟠 OVERDUE — Call Today</v>
      </c>
    </row>
    <row r="194" customFormat="false" ht="15" hidden="false" customHeight="true" outlineLevel="0" collapsed="false">
      <c r="A194" s="70" t="s">
        <v>1376</v>
      </c>
      <c r="B194" s="72" t="s">
        <v>1377</v>
      </c>
      <c r="C194" s="72" t="s">
        <v>103</v>
      </c>
      <c r="D194" s="70" t="s">
        <v>104</v>
      </c>
      <c r="E194" s="71" t="n">
        <v>45667</v>
      </c>
      <c r="F194" s="71" t="n">
        <v>46198</v>
      </c>
      <c r="G194" s="88" t="n">
        <f aca="true">IFERROR(TODAY()-F194,0)</f>
        <v>3</v>
      </c>
      <c r="H194" s="110" t="str">
        <f aca="false">IF(G194&gt;7,"🔴 CRITICAL — Call Immediately",IF(G194&gt;0,"🟠 OVERDUE — Call Today",IF(G194=0,"🟡 DUE TODAY — Schedule Now",IF(G194&gt;-3,"🔵 Due This Week","🟢 Upcoming — On Track"))))</f>
        <v>🟠 OVERDUE — Call Today</v>
      </c>
    </row>
    <row r="195" customFormat="false" ht="15" hidden="false" customHeight="true" outlineLevel="0" collapsed="false">
      <c r="A195" s="75" t="s">
        <v>366</v>
      </c>
      <c r="B195" s="77" t="s">
        <v>367</v>
      </c>
      <c r="C195" s="77" t="s">
        <v>142</v>
      </c>
      <c r="D195" s="75" t="s">
        <v>104</v>
      </c>
      <c r="E195" s="76" t="n">
        <v>45670</v>
      </c>
      <c r="F195" s="76" t="n">
        <v>46199</v>
      </c>
      <c r="G195" s="87" t="n">
        <f aca="true">IFERROR(TODAY()-F195,0)</f>
        <v>2</v>
      </c>
      <c r="H195" s="112" t="str">
        <f aca="false">IF(G195&gt;7,"🔴 CRITICAL — Call Immediately",IF(G195&gt;0,"🟠 OVERDUE — Call Today",IF(G195=0,"🟡 DUE TODAY — Schedule Now",IF(G195&gt;-3,"🔵 Due This Week","🟢 Upcoming — On Track"))))</f>
        <v>🟠 OVERDUE — Call Today</v>
      </c>
    </row>
    <row r="196" customFormat="false" ht="15" hidden="false" customHeight="true" outlineLevel="0" collapsed="false">
      <c r="A196" s="70" t="s">
        <v>498</v>
      </c>
      <c r="B196" s="72" t="s">
        <v>499</v>
      </c>
      <c r="C196" s="72" t="s">
        <v>148</v>
      </c>
      <c r="D196" s="70" t="s">
        <v>104</v>
      </c>
      <c r="E196" s="71" t="n">
        <v>45576</v>
      </c>
      <c r="F196" s="71" t="n">
        <v>46199</v>
      </c>
      <c r="G196" s="88" t="n">
        <f aca="true">IFERROR(TODAY()-F196,0)</f>
        <v>2</v>
      </c>
      <c r="H196" s="110" t="str">
        <f aca="false">IF(G196&gt;7,"🔴 CRITICAL — Call Immediately",IF(G196&gt;0,"🟠 OVERDUE — Call Today",IF(G196=0,"🟡 DUE TODAY — Schedule Now",IF(G196&gt;-3,"🔵 Due This Week","🟢 Upcoming — On Track"))))</f>
        <v>🟠 OVERDUE — Call Today</v>
      </c>
    </row>
    <row r="197" customFormat="false" ht="15" hidden="false" customHeight="true" outlineLevel="0" collapsed="false">
      <c r="A197" s="75" t="s">
        <v>590</v>
      </c>
      <c r="B197" s="77" t="s">
        <v>591</v>
      </c>
      <c r="C197" s="77" t="s">
        <v>178</v>
      </c>
      <c r="D197" s="75" t="s">
        <v>120</v>
      </c>
      <c r="E197" s="76" t="n">
        <v>45716</v>
      </c>
      <c r="F197" s="76" t="n">
        <v>46199</v>
      </c>
      <c r="G197" s="87" t="n">
        <f aca="true">IFERROR(TODAY()-F197,0)</f>
        <v>2</v>
      </c>
      <c r="H197" s="112" t="str">
        <f aca="false">IF(G197&gt;7,"🔴 CRITICAL — Call Immediately",IF(G197&gt;0,"🟠 OVERDUE — Call Today",IF(G197=0,"🟡 DUE TODAY — Schedule Now",IF(G197&gt;-3,"🔵 Due This Week","🟢 Upcoming — On Track"))))</f>
        <v>🟠 OVERDUE — Call Today</v>
      </c>
    </row>
    <row r="198" customFormat="false" ht="15" hidden="false" customHeight="true" outlineLevel="0" collapsed="false">
      <c r="A198" s="70" t="s">
        <v>735</v>
      </c>
      <c r="B198" s="72" t="s">
        <v>124</v>
      </c>
      <c r="C198" s="72" t="s">
        <v>103</v>
      </c>
      <c r="D198" s="70" t="s">
        <v>120</v>
      </c>
      <c r="E198" s="71" t="n">
        <v>45486</v>
      </c>
      <c r="F198" s="71" t="n">
        <v>46199</v>
      </c>
      <c r="G198" s="88" t="n">
        <f aca="true">IFERROR(TODAY()-F198,0)</f>
        <v>2</v>
      </c>
      <c r="H198" s="110" t="str">
        <f aca="false">IF(G198&gt;7,"🔴 CRITICAL — Call Immediately",IF(G198&gt;0,"🟠 OVERDUE — Call Today",IF(G198=0,"🟡 DUE TODAY — Schedule Now",IF(G198&gt;-3,"🔵 Due This Week","🟢 Upcoming — On Track"))))</f>
        <v>🟠 OVERDUE — Call Today</v>
      </c>
    </row>
    <row r="199" customFormat="false" ht="15" hidden="false" customHeight="true" outlineLevel="0" collapsed="false">
      <c r="A199" s="75" t="s">
        <v>885</v>
      </c>
      <c r="B199" s="77" t="s">
        <v>886</v>
      </c>
      <c r="C199" s="77" t="s">
        <v>178</v>
      </c>
      <c r="D199" s="75" t="s">
        <v>104</v>
      </c>
      <c r="E199" s="76" t="n">
        <v>45627</v>
      </c>
      <c r="F199" s="76" t="n">
        <v>46199</v>
      </c>
      <c r="G199" s="87" t="n">
        <f aca="true">IFERROR(TODAY()-F199,0)</f>
        <v>2</v>
      </c>
      <c r="H199" s="112" t="str">
        <f aca="false">IF(G199&gt;7,"🔴 CRITICAL — Call Immediately",IF(G199&gt;0,"🟠 OVERDUE — Call Today",IF(G199=0,"🟡 DUE TODAY — Schedule Now",IF(G199&gt;-3,"🔵 Due This Week","🟢 Upcoming — On Track"))))</f>
        <v>🟠 OVERDUE — Call Today</v>
      </c>
    </row>
    <row r="200" customFormat="false" ht="15" hidden="false" customHeight="true" outlineLevel="0" collapsed="false">
      <c r="A200" s="70" t="s">
        <v>1157</v>
      </c>
      <c r="B200" s="72" t="s">
        <v>1158</v>
      </c>
      <c r="C200" s="72" t="s">
        <v>93</v>
      </c>
      <c r="D200" s="70" t="s">
        <v>104</v>
      </c>
      <c r="E200" s="71" t="n">
        <v>45611</v>
      </c>
      <c r="F200" s="71" t="n">
        <v>46199</v>
      </c>
      <c r="G200" s="88" t="n">
        <f aca="true">IFERROR(TODAY()-F200,0)</f>
        <v>2</v>
      </c>
      <c r="H200" s="110" t="str">
        <f aca="false">IF(G200&gt;7,"🔴 CRITICAL — Call Immediately",IF(G200&gt;0,"🟠 OVERDUE — Call Today",IF(G200=0,"🟡 DUE TODAY — Schedule Now",IF(G200&gt;-3,"🔵 Due This Week","🟢 Upcoming — On Track"))))</f>
        <v>🟠 OVERDUE — Call Today</v>
      </c>
    </row>
    <row r="201" customFormat="false" ht="15" hidden="false" customHeight="true" outlineLevel="0" collapsed="false">
      <c r="A201" s="75" t="s">
        <v>1318</v>
      </c>
      <c r="B201" s="77" t="s">
        <v>1319</v>
      </c>
      <c r="C201" s="77" t="s">
        <v>124</v>
      </c>
      <c r="D201" s="75" t="s">
        <v>143</v>
      </c>
      <c r="E201" s="76" t="n">
        <v>45674</v>
      </c>
      <c r="F201" s="76" t="n">
        <v>46199</v>
      </c>
      <c r="G201" s="87" t="n">
        <f aca="true">IFERROR(TODAY()-F201,0)</f>
        <v>2</v>
      </c>
      <c r="H201" s="112" t="str">
        <f aca="false">IF(G201&gt;7,"🔴 CRITICAL — Call Immediately",IF(G201&gt;0,"🟠 OVERDUE — Call Today",IF(G201=0,"🟡 DUE TODAY — Schedule Now",IF(G201&gt;-3,"🔵 Due This Week","🟢 Upcoming — On Track"))))</f>
        <v>🟠 OVERDUE — Call Today</v>
      </c>
    </row>
    <row r="202" customFormat="false" ht="15" hidden="false" customHeight="true" outlineLevel="0" collapsed="false">
      <c r="A202" s="70" t="s">
        <v>1334</v>
      </c>
      <c r="B202" s="72" t="s">
        <v>1335</v>
      </c>
      <c r="C202" s="72" t="s">
        <v>93</v>
      </c>
      <c r="D202" s="70" t="s">
        <v>161</v>
      </c>
      <c r="E202" s="71" t="n">
        <v>45493</v>
      </c>
      <c r="F202" s="71" t="n">
        <v>46199</v>
      </c>
      <c r="G202" s="88" t="n">
        <f aca="true">IFERROR(TODAY()-F202,0)</f>
        <v>2</v>
      </c>
      <c r="H202" s="110" t="str">
        <f aca="false">IF(G202&gt;7,"🔴 CRITICAL — Call Immediately",IF(G202&gt;0,"🟠 OVERDUE — Call Today",IF(G202=0,"🟡 DUE TODAY — Schedule Now",IF(G202&gt;-3,"🔵 Due This Week","🟢 Upcoming — On Track"))))</f>
        <v>🟠 OVERDUE — Call Today</v>
      </c>
    </row>
    <row r="203" customFormat="false" ht="15" hidden="false" customHeight="true" outlineLevel="0" collapsed="false">
      <c r="A203" s="75" t="s">
        <v>1424</v>
      </c>
      <c r="B203" s="77" t="s">
        <v>1425</v>
      </c>
      <c r="C203" s="77" t="s">
        <v>103</v>
      </c>
      <c r="D203" s="75" t="s">
        <v>104</v>
      </c>
      <c r="E203" s="76" t="n">
        <v>45417</v>
      </c>
      <c r="F203" s="76" t="n">
        <v>46199</v>
      </c>
      <c r="G203" s="87" t="n">
        <f aca="true">IFERROR(TODAY()-F203,0)</f>
        <v>2</v>
      </c>
      <c r="H203" s="112" t="str">
        <f aca="false">IF(G203&gt;7,"🔴 CRITICAL — Call Immediately",IF(G203&gt;0,"🟠 OVERDUE — Call Today",IF(G203=0,"🟡 DUE TODAY — Schedule Now",IF(G203&gt;-3,"🔵 Due This Week","🟢 Upcoming — On Track"))))</f>
        <v>🟠 OVERDUE — Call Today</v>
      </c>
    </row>
    <row r="204" customFormat="false" ht="15" hidden="false" customHeight="true" outlineLevel="0" collapsed="false">
      <c r="A204" s="70" t="s">
        <v>1549</v>
      </c>
      <c r="B204" s="72" t="s">
        <v>1064</v>
      </c>
      <c r="C204" s="72" t="s">
        <v>191</v>
      </c>
      <c r="D204" s="70" t="s">
        <v>94</v>
      </c>
      <c r="E204" s="71" t="n">
        <v>45582</v>
      </c>
      <c r="F204" s="71" t="n">
        <v>46199</v>
      </c>
      <c r="G204" s="88" t="n">
        <f aca="true">IFERROR(TODAY()-F204,0)</f>
        <v>2</v>
      </c>
      <c r="H204" s="110" t="str">
        <f aca="false">IF(G204&gt;7,"🔴 CRITICAL — Call Immediately",IF(G204&gt;0,"🟠 OVERDUE — Call Today",IF(G204=0,"🟡 DUE TODAY — Schedule Now",IF(G204&gt;-3,"🔵 Due This Week","🟢 Upcoming — On Track"))))</f>
        <v>🟠 OVERDUE — Call Today</v>
      </c>
    </row>
    <row r="205" customFormat="false" ht="15" hidden="false" customHeight="true" outlineLevel="0" collapsed="false">
      <c r="A205" s="75" t="s">
        <v>96</v>
      </c>
      <c r="B205" s="77" t="s">
        <v>97</v>
      </c>
      <c r="C205" s="77" t="s">
        <v>103</v>
      </c>
      <c r="D205" s="75" t="s">
        <v>104</v>
      </c>
      <c r="E205" s="76" t="n">
        <v>45720</v>
      </c>
      <c r="F205" s="76" t="n">
        <v>46200</v>
      </c>
      <c r="G205" s="87" t="n">
        <f aca="true">IFERROR(TODAY()-F205,0)</f>
        <v>1</v>
      </c>
      <c r="H205" s="112" t="str">
        <f aca="false">IF(G205&gt;7,"🔴 CRITICAL — Call Immediately",IF(G205&gt;0,"🟠 OVERDUE — Call Today",IF(G205=0,"🟡 DUE TODAY — Schedule Now",IF(G205&gt;-3,"🔵 Due This Week","🟢 Upcoming — On Track"))))</f>
        <v>🟠 OVERDUE — Call Today</v>
      </c>
    </row>
    <row r="206" customFormat="false" ht="15" hidden="false" customHeight="true" outlineLevel="0" collapsed="false">
      <c r="A206" s="70" t="s">
        <v>227</v>
      </c>
      <c r="B206" s="72" t="s">
        <v>228</v>
      </c>
      <c r="C206" s="72" t="s">
        <v>124</v>
      </c>
      <c r="D206" s="70" t="s">
        <v>94</v>
      </c>
      <c r="E206" s="71" t="n">
        <v>45569</v>
      </c>
      <c r="F206" s="71" t="n">
        <v>46200</v>
      </c>
      <c r="G206" s="88" t="n">
        <f aca="true">IFERROR(TODAY()-F206,0)</f>
        <v>1</v>
      </c>
      <c r="H206" s="110" t="str">
        <f aca="false">IF(G206&gt;7,"🔴 CRITICAL — Call Immediately",IF(G206&gt;0,"🟠 OVERDUE — Call Today",IF(G206=0,"🟡 DUE TODAY — Schedule Now",IF(G206&gt;-3,"🔵 Due This Week","🟢 Upcoming — On Track"))))</f>
        <v>🟠 OVERDUE — Call Today</v>
      </c>
    </row>
    <row r="207" customFormat="false" ht="15" hidden="false" customHeight="true" outlineLevel="0" collapsed="false">
      <c r="A207" s="75" t="s">
        <v>381</v>
      </c>
      <c r="B207" s="77" t="s">
        <v>382</v>
      </c>
      <c r="C207" s="77" t="s">
        <v>209</v>
      </c>
      <c r="D207" s="75" t="s">
        <v>143</v>
      </c>
      <c r="E207" s="76" t="n">
        <v>45513</v>
      </c>
      <c r="F207" s="76" t="n">
        <v>46200</v>
      </c>
      <c r="G207" s="87" t="n">
        <f aca="true">IFERROR(TODAY()-F207,0)</f>
        <v>1</v>
      </c>
      <c r="H207" s="112" t="str">
        <f aca="false">IF(G207&gt;7,"🔴 CRITICAL — Call Immediately",IF(G207&gt;0,"🟠 OVERDUE — Call Today",IF(G207=0,"🟡 DUE TODAY — Schedule Now",IF(G207&gt;-3,"🔵 Due This Week","🟢 Upcoming — On Track"))))</f>
        <v>🟠 OVERDUE — Call Today</v>
      </c>
    </row>
    <row r="208" customFormat="false" ht="15" hidden="false" customHeight="true" outlineLevel="0" collapsed="false">
      <c r="A208" s="70" t="s">
        <v>476</v>
      </c>
      <c r="B208" s="72" t="s">
        <v>477</v>
      </c>
      <c r="C208" s="72" t="s">
        <v>148</v>
      </c>
      <c r="D208" s="70" t="s">
        <v>143</v>
      </c>
      <c r="E208" s="71" t="n">
        <v>45569</v>
      </c>
      <c r="F208" s="71" t="n">
        <v>46200</v>
      </c>
      <c r="G208" s="88" t="n">
        <f aca="true">IFERROR(TODAY()-F208,0)</f>
        <v>1</v>
      </c>
      <c r="H208" s="110" t="str">
        <f aca="false">IF(G208&gt;7,"🔴 CRITICAL — Call Immediately",IF(G208&gt;0,"🟠 OVERDUE — Call Today",IF(G208=0,"🟡 DUE TODAY — Schedule Now",IF(G208&gt;-3,"🔵 Due This Week","🟢 Upcoming — On Track"))))</f>
        <v>🟠 OVERDUE — Call Today</v>
      </c>
    </row>
    <row r="209" customFormat="false" ht="15" hidden="false" customHeight="true" outlineLevel="0" collapsed="false">
      <c r="A209" s="75" t="s">
        <v>578</v>
      </c>
      <c r="B209" s="77" t="s">
        <v>579</v>
      </c>
      <c r="C209" s="77" t="s">
        <v>112</v>
      </c>
      <c r="D209" s="75" t="s">
        <v>143</v>
      </c>
      <c r="E209" s="76" t="n">
        <v>45633</v>
      </c>
      <c r="F209" s="76" t="n">
        <v>46200</v>
      </c>
      <c r="G209" s="87" t="n">
        <f aca="true">IFERROR(TODAY()-F209,0)</f>
        <v>1</v>
      </c>
      <c r="H209" s="112" t="str">
        <f aca="false">IF(G209&gt;7,"🔴 CRITICAL — Call Immediately",IF(G209&gt;0,"🟠 OVERDUE — Call Today",IF(G209=0,"🟡 DUE TODAY — Schedule Now",IF(G209&gt;-3,"🔵 Due This Week","🟢 Upcoming — On Track"))))</f>
        <v>🟠 OVERDUE — Call Today</v>
      </c>
    </row>
    <row r="210" customFormat="false" ht="15" hidden="false" customHeight="true" outlineLevel="0" collapsed="false">
      <c r="A210" s="70" t="s">
        <v>629</v>
      </c>
      <c r="B210" s="72" t="s">
        <v>630</v>
      </c>
      <c r="C210" s="72" t="s">
        <v>209</v>
      </c>
      <c r="D210" s="70" t="s">
        <v>143</v>
      </c>
      <c r="E210" s="71" t="n">
        <v>45596</v>
      </c>
      <c r="F210" s="71" t="n">
        <v>46200</v>
      </c>
      <c r="G210" s="88" t="n">
        <f aca="true">IFERROR(TODAY()-F210,0)</f>
        <v>1</v>
      </c>
      <c r="H210" s="110" t="str">
        <f aca="false">IF(G210&gt;7,"🔴 CRITICAL — Call Immediately",IF(G210&gt;0,"🟠 OVERDUE — Call Today",IF(G210=0,"🟡 DUE TODAY — Schedule Now",IF(G210&gt;-3,"🔵 Due This Week","🟢 Upcoming — On Track"))))</f>
        <v>🟠 OVERDUE — Call Today</v>
      </c>
    </row>
    <row r="211" customFormat="false" ht="15" hidden="false" customHeight="true" outlineLevel="0" collapsed="false">
      <c r="A211" s="75" t="s">
        <v>854</v>
      </c>
      <c r="B211" s="77" t="s">
        <v>376</v>
      </c>
      <c r="C211" s="77" t="s">
        <v>142</v>
      </c>
      <c r="D211" s="75" t="s">
        <v>143</v>
      </c>
      <c r="E211" s="76" t="n">
        <v>45494</v>
      </c>
      <c r="F211" s="76" t="n">
        <v>46200</v>
      </c>
      <c r="G211" s="87" t="n">
        <f aca="true">IFERROR(TODAY()-F211,0)</f>
        <v>1</v>
      </c>
      <c r="H211" s="112" t="str">
        <f aca="false">IF(G211&gt;7,"🔴 CRITICAL — Call Immediately",IF(G211&gt;0,"🟠 OVERDUE — Call Today",IF(G211=0,"🟡 DUE TODAY — Schedule Now",IF(G211&gt;-3,"🔵 Due This Week","🟢 Upcoming — On Track"))))</f>
        <v>🟠 OVERDUE — Call Today</v>
      </c>
    </row>
    <row r="212" customFormat="false" ht="15" hidden="false" customHeight="true" outlineLevel="0" collapsed="false">
      <c r="A212" s="70" t="s">
        <v>908</v>
      </c>
      <c r="B212" s="72" t="s">
        <v>752</v>
      </c>
      <c r="C212" s="72" t="s">
        <v>93</v>
      </c>
      <c r="D212" s="70" t="s">
        <v>104</v>
      </c>
      <c r="E212" s="71" t="n">
        <v>45624</v>
      </c>
      <c r="F212" s="71" t="n">
        <v>46200</v>
      </c>
      <c r="G212" s="88" t="n">
        <f aca="true">IFERROR(TODAY()-F212,0)</f>
        <v>1</v>
      </c>
      <c r="H212" s="110" t="str">
        <f aca="false">IF(G212&gt;7,"🔴 CRITICAL — Call Immediately",IF(G212&gt;0,"🟠 OVERDUE — Call Today",IF(G212=0,"🟡 DUE TODAY — Schedule Now",IF(G212&gt;-3,"🔵 Due This Week","🟢 Upcoming — On Track"))))</f>
        <v>🟠 OVERDUE — Call Today</v>
      </c>
    </row>
    <row r="213" customFormat="false" ht="15" hidden="false" customHeight="true" outlineLevel="0" collapsed="false">
      <c r="A213" s="75" t="s">
        <v>968</v>
      </c>
      <c r="B213" s="77" t="s">
        <v>781</v>
      </c>
      <c r="C213" s="77" t="s">
        <v>142</v>
      </c>
      <c r="D213" s="75" t="s">
        <v>104</v>
      </c>
      <c r="E213" s="76" t="n">
        <v>45568</v>
      </c>
      <c r="F213" s="76" t="n">
        <v>46200</v>
      </c>
      <c r="G213" s="87" t="n">
        <f aca="true">IFERROR(TODAY()-F213,0)</f>
        <v>1</v>
      </c>
      <c r="H213" s="112" t="str">
        <f aca="false">IF(G213&gt;7,"🔴 CRITICAL — Call Immediately",IF(G213&gt;0,"🟠 OVERDUE — Call Today",IF(G213=0,"🟡 DUE TODAY — Schedule Now",IF(G213&gt;-3,"🔵 Due This Week","🟢 Upcoming — On Track"))))</f>
        <v>🟠 OVERDUE — Call Today</v>
      </c>
    </row>
    <row r="214" customFormat="false" ht="15" hidden="false" customHeight="true" outlineLevel="0" collapsed="false">
      <c r="A214" s="70" t="s">
        <v>998</v>
      </c>
      <c r="B214" s="72" t="s">
        <v>999</v>
      </c>
      <c r="C214" s="72" t="s">
        <v>124</v>
      </c>
      <c r="D214" s="70" t="s">
        <v>120</v>
      </c>
      <c r="E214" s="71" t="n">
        <v>45612</v>
      </c>
      <c r="F214" s="71" t="n">
        <v>46200</v>
      </c>
      <c r="G214" s="88" t="n">
        <f aca="true">IFERROR(TODAY()-F214,0)</f>
        <v>1</v>
      </c>
      <c r="H214" s="110" t="str">
        <f aca="false">IF(G214&gt;7,"🔴 CRITICAL — Call Immediately",IF(G214&gt;0,"🟠 OVERDUE — Call Today",IF(G214=0,"🟡 DUE TODAY — Schedule Now",IF(G214&gt;-3,"🔵 Due This Week","🟢 Upcoming — On Track"))))</f>
        <v>🟠 OVERDUE — Call Today</v>
      </c>
    </row>
    <row r="215" customFormat="false" ht="15" hidden="false" customHeight="true" outlineLevel="0" collapsed="false">
      <c r="A215" s="75" t="s">
        <v>1025</v>
      </c>
      <c r="B215" s="77" t="s">
        <v>1026</v>
      </c>
      <c r="C215" s="77" t="s">
        <v>178</v>
      </c>
      <c r="D215" s="75" t="s">
        <v>94</v>
      </c>
      <c r="E215" s="76" t="n">
        <v>45537</v>
      </c>
      <c r="F215" s="76" t="n">
        <v>46200</v>
      </c>
      <c r="G215" s="87" t="n">
        <f aca="true">IFERROR(TODAY()-F215,0)</f>
        <v>1</v>
      </c>
      <c r="H215" s="112" t="str">
        <f aca="false">IF(G215&gt;7,"🔴 CRITICAL — Call Immediately",IF(G215&gt;0,"🟠 OVERDUE — Call Today",IF(G215=0,"🟡 DUE TODAY — Schedule Now",IF(G215&gt;-3,"🔵 Due This Week","🟢 Upcoming — On Track"))))</f>
        <v>🟠 OVERDUE — Call Today</v>
      </c>
    </row>
    <row r="216" customFormat="false" ht="15" hidden="false" customHeight="true" outlineLevel="0" collapsed="false">
      <c r="A216" s="70" t="s">
        <v>1114</v>
      </c>
      <c r="B216" s="72" t="s">
        <v>1115</v>
      </c>
      <c r="C216" s="72" t="s">
        <v>112</v>
      </c>
      <c r="D216" s="70" t="s">
        <v>143</v>
      </c>
      <c r="E216" s="71" t="n">
        <v>45453</v>
      </c>
      <c r="F216" s="71" t="n">
        <v>46200</v>
      </c>
      <c r="G216" s="88" t="n">
        <f aca="true">IFERROR(TODAY()-F216,0)</f>
        <v>1</v>
      </c>
      <c r="H216" s="110" t="str">
        <f aca="false">IF(G216&gt;7,"🔴 CRITICAL — Call Immediately",IF(G216&gt;0,"🟠 OVERDUE — Call Today",IF(G216=0,"🟡 DUE TODAY — Schedule Now",IF(G216&gt;-3,"🔵 Due This Week","🟢 Upcoming — On Track"))))</f>
        <v>🟠 OVERDUE — Call Today</v>
      </c>
    </row>
    <row r="217" customFormat="false" ht="15" hidden="false" customHeight="true" outlineLevel="0" collapsed="false">
      <c r="A217" s="75" t="s">
        <v>1119</v>
      </c>
      <c r="B217" s="77" t="s">
        <v>1120</v>
      </c>
      <c r="C217" s="77" t="s">
        <v>191</v>
      </c>
      <c r="D217" s="75" t="s">
        <v>94</v>
      </c>
      <c r="E217" s="76" t="n">
        <v>45659</v>
      </c>
      <c r="F217" s="76" t="n">
        <v>46200</v>
      </c>
      <c r="G217" s="87" t="n">
        <f aca="true">IFERROR(TODAY()-F217,0)</f>
        <v>1</v>
      </c>
      <c r="H217" s="112" t="str">
        <f aca="false">IF(G217&gt;7,"🔴 CRITICAL — Call Immediately",IF(G217&gt;0,"🟠 OVERDUE — Call Today",IF(G217=0,"🟡 DUE TODAY — Schedule Now",IF(G217&gt;-3,"🔵 Due This Week","🟢 Upcoming — On Track"))))</f>
        <v>🟠 OVERDUE — Call Today</v>
      </c>
    </row>
    <row r="218" customFormat="false" ht="15" hidden="false" customHeight="true" outlineLevel="0" collapsed="false">
      <c r="A218" s="70" t="s">
        <v>1153</v>
      </c>
      <c r="B218" s="72" t="s">
        <v>191</v>
      </c>
      <c r="C218" s="72" t="s">
        <v>93</v>
      </c>
      <c r="D218" s="70" t="s">
        <v>161</v>
      </c>
      <c r="E218" s="71" t="n">
        <v>45502</v>
      </c>
      <c r="F218" s="71" t="n">
        <v>46200</v>
      </c>
      <c r="G218" s="88" t="n">
        <f aca="true">IFERROR(TODAY()-F218,0)</f>
        <v>1</v>
      </c>
      <c r="H218" s="110" t="str">
        <f aca="false">IF(G218&gt;7,"🔴 CRITICAL — Call Immediately",IF(G218&gt;0,"🟠 OVERDUE — Call Today",IF(G218=0,"🟡 DUE TODAY — Schedule Now",IF(G218&gt;-3,"🔵 Due This Week","🟢 Upcoming — On Track"))))</f>
        <v>🟠 OVERDUE — Call Today</v>
      </c>
    </row>
    <row r="219" customFormat="false" ht="15" hidden="false" customHeight="true" outlineLevel="0" collapsed="false">
      <c r="A219" s="75" t="s">
        <v>1200</v>
      </c>
      <c r="B219" s="77" t="s">
        <v>1201</v>
      </c>
      <c r="C219" s="77" t="s">
        <v>148</v>
      </c>
      <c r="D219" s="75" t="s">
        <v>94</v>
      </c>
      <c r="E219" s="76" t="n">
        <v>45445</v>
      </c>
      <c r="F219" s="76" t="n">
        <v>46200</v>
      </c>
      <c r="G219" s="87" t="n">
        <f aca="true">IFERROR(TODAY()-F219,0)</f>
        <v>1</v>
      </c>
      <c r="H219" s="112" t="str">
        <f aca="false">IF(G219&gt;7,"🔴 CRITICAL — Call Immediately",IF(G219&gt;0,"🟠 OVERDUE — Call Today",IF(G219=0,"🟡 DUE TODAY — Schedule Now",IF(G219&gt;-3,"🔵 Due This Week","🟢 Upcoming — On Track"))))</f>
        <v>🟠 OVERDUE — Call Today</v>
      </c>
    </row>
    <row r="220" customFormat="false" ht="15" hidden="false" customHeight="true" outlineLevel="0" collapsed="false">
      <c r="A220" s="70" t="s">
        <v>1230</v>
      </c>
      <c r="B220" s="72" t="s">
        <v>1231</v>
      </c>
      <c r="C220" s="72" t="s">
        <v>209</v>
      </c>
      <c r="D220" s="70" t="s">
        <v>161</v>
      </c>
      <c r="E220" s="71" t="n">
        <v>45588</v>
      </c>
      <c r="F220" s="71" t="n">
        <v>46200</v>
      </c>
      <c r="G220" s="88" t="n">
        <f aca="true">IFERROR(TODAY()-F220,0)</f>
        <v>1</v>
      </c>
      <c r="H220" s="110" t="str">
        <f aca="false">IF(G220&gt;7,"🔴 CRITICAL — Call Immediately",IF(G220&gt;0,"🟠 OVERDUE — Call Today",IF(G220=0,"🟡 DUE TODAY — Schedule Now",IF(G220&gt;-3,"🔵 Due This Week","🟢 Upcoming — On Track"))))</f>
        <v>🟠 OVERDUE — Call Today</v>
      </c>
    </row>
    <row r="221" customFormat="false" ht="15" hidden="false" customHeight="true" outlineLevel="0" collapsed="false">
      <c r="A221" s="75" t="s">
        <v>1446</v>
      </c>
      <c r="B221" s="77" t="s">
        <v>1447</v>
      </c>
      <c r="C221" s="77" t="s">
        <v>142</v>
      </c>
      <c r="D221" s="75" t="s">
        <v>94</v>
      </c>
      <c r="E221" s="76" t="n">
        <v>45619</v>
      </c>
      <c r="F221" s="76" t="n">
        <v>46200</v>
      </c>
      <c r="G221" s="87" t="n">
        <f aca="true">IFERROR(TODAY()-F221,0)</f>
        <v>1</v>
      </c>
      <c r="H221" s="112" t="str">
        <f aca="false">IF(G221&gt;7,"🔴 CRITICAL — Call Immediately",IF(G221&gt;0,"🟠 OVERDUE — Call Today",IF(G221=0,"🟡 DUE TODAY — Schedule Now",IF(G221&gt;-3,"🔵 Due This Week","🟢 Upcoming — On Track"))))</f>
        <v>🟠 OVERDUE — Call Today</v>
      </c>
    </row>
    <row r="222" customFormat="false" ht="15" hidden="false" customHeight="true" outlineLevel="0" collapsed="false">
      <c r="A222" s="70" t="s">
        <v>114</v>
      </c>
      <c r="B222" s="72" t="s">
        <v>115</v>
      </c>
      <c r="C222" s="72" t="s">
        <v>103</v>
      </c>
      <c r="D222" s="70" t="s">
        <v>120</v>
      </c>
      <c r="E222" s="71" t="n">
        <v>45577</v>
      </c>
      <c r="F222" s="71" t="n">
        <v>46201</v>
      </c>
      <c r="G222" s="88" t="n">
        <f aca="true">IFERROR(TODAY()-F222,0)</f>
        <v>0</v>
      </c>
      <c r="H222" s="110" t="str">
        <f aca="false">IF(G222&gt;7,"🔴 CRITICAL — Call Immediately",IF(G222&gt;0,"🟠 OVERDUE — Call Today",IF(G222=0,"🟡 DUE TODAY — Schedule Now",IF(G222&gt;-3,"🔵 Due This Week","🟢 Upcoming — On Track"))))</f>
        <v>🟡 DUE TODAY — Schedule Now</v>
      </c>
    </row>
    <row r="223" customFormat="false" ht="15" hidden="false" customHeight="true" outlineLevel="0" collapsed="false">
      <c r="A223" s="75" t="s">
        <v>277</v>
      </c>
      <c r="B223" s="77" t="s">
        <v>278</v>
      </c>
      <c r="C223" s="77" t="s">
        <v>178</v>
      </c>
      <c r="D223" s="75" t="s">
        <v>143</v>
      </c>
      <c r="E223" s="76" t="n">
        <v>45592</v>
      </c>
      <c r="F223" s="76" t="n">
        <v>46201</v>
      </c>
      <c r="G223" s="87" t="n">
        <f aca="true">IFERROR(TODAY()-F223,0)</f>
        <v>0</v>
      </c>
      <c r="H223" s="112" t="str">
        <f aca="false">IF(G223&gt;7,"🔴 CRITICAL — Call Immediately",IF(G223&gt;0,"🟠 OVERDUE — Call Today",IF(G223=0,"🟡 DUE TODAY — Schedule Now",IF(G223&gt;-3,"🔵 Due This Week","🟢 Upcoming — On Track"))))</f>
        <v>🟡 DUE TODAY — Schedule Now</v>
      </c>
    </row>
    <row r="224" customFormat="false" ht="15" hidden="false" customHeight="true" outlineLevel="0" collapsed="false">
      <c r="A224" s="70" t="s">
        <v>307</v>
      </c>
      <c r="B224" s="72" t="s">
        <v>308</v>
      </c>
      <c r="C224" s="72" t="s">
        <v>124</v>
      </c>
      <c r="D224" s="70" t="s">
        <v>94</v>
      </c>
      <c r="E224" s="71" t="n">
        <v>45717</v>
      </c>
      <c r="F224" s="71" t="n">
        <v>46201</v>
      </c>
      <c r="G224" s="88" t="n">
        <f aca="true">IFERROR(TODAY()-F224,0)</f>
        <v>0</v>
      </c>
      <c r="H224" s="110" t="str">
        <f aca="false">IF(G224&gt;7,"🔴 CRITICAL — Call Immediately",IF(G224&gt;0,"🟠 OVERDUE — Call Today",IF(G224=0,"🟡 DUE TODAY — Schedule Now",IF(G224&gt;-3,"🔵 Due This Week","🟢 Upcoming — On Track"))))</f>
        <v>🟡 DUE TODAY — Schedule Now</v>
      </c>
    </row>
    <row r="225" customFormat="false" ht="15" hidden="false" customHeight="true" outlineLevel="0" collapsed="false">
      <c r="A225" s="75" t="s">
        <v>428</v>
      </c>
      <c r="B225" s="77" t="s">
        <v>429</v>
      </c>
      <c r="C225" s="77" t="s">
        <v>191</v>
      </c>
      <c r="D225" s="75" t="s">
        <v>161</v>
      </c>
      <c r="E225" s="76" t="n">
        <v>45419</v>
      </c>
      <c r="F225" s="76" t="n">
        <v>46201</v>
      </c>
      <c r="G225" s="87" t="n">
        <f aca="true">IFERROR(TODAY()-F225,0)</f>
        <v>0</v>
      </c>
      <c r="H225" s="112" t="str">
        <f aca="false">IF(G225&gt;7,"🔴 CRITICAL — Call Immediately",IF(G225&gt;0,"🟠 OVERDUE — Call Today",IF(G225=0,"🟡 DUE TODAY — Schedule Now",IF(G225&gt;-3,"🔵 Due This Week","🟢 Upcoming — On Track"))))</f>
        <v>🟡 DUE TODAY — Schedule Now</v>
      </c>
    </row>
    <row r="226" customFormat="false" ht="15" hidden="false" customHeight="true" outlineLevel="0" collapsed="false">
      <c r="A226" s="70" t="s">
        <v>464</v>
      </c>
      <c r="B226" s="72" t="s">
        <v>465</v>
      </c>
      <c r="C226" s="72" t="s">
        <v>103</v>
      </c>
      <c r="D226" s="70" t="s">
        <v>120</v>
      </c>
      <c r="E226" s="71" t="n">
        <v>45604</v>
      </c>
      <c r="F226" s="71" t="n">
        <v>46201</v>
      </c>
      <c r="G226" s="88" t="n">
        <f aca="true">IFERROR(TODAY()-F226,0)</f>
        <v>0</v>
      </c>
      <c r="H226" s="110" t="str">
        <f aca="false">IF(G226&gt;7,"🔴 CRITICAL — Call Immediately",IF(G226&gt;0,"🟠 OVERDUE — Call Today",IF(G226=0,"🟡 DUE TODAY — Schedule Now",IF(G226&gt;-3,"🔵 Due This Week","🟢 Upcoming — On Track"))))</f>
        <v>🟡 DUE TODAY — Schedule Now</v>
      </c>
    </row>
    <row r="227" customFormat="false" ht="15" hidden="false" customHeight="true" outlineLevel="0" collapsed="false">
      <c r="A227" s="75" t="s">
        <v>491</v>
      </c>
      <c r="B227" s="77" t="s">
        <v>492</v>
      </c>
      <c r="C227" s="77" t="s">
        <v>93</v>
      </c>
      <c r="D227" s="75" t="s">
        <v>161</v>
      </c>
      <c r="E227" s="76" t="n">
        <v>45646</v>
      </c>
      <c r="F227" s="76" t="n">
        <v>46201</v>
      </c>
      <c r="G227" s="87" t="n">
        <f aca="true">IFERROR(TODAY()-F227,0)</f>
        <v>0</v>
      </c>
      <c r="H227" s="112" t="str">
        <f aca="false">IF(G227&gt;7,"🔴 CRITICAL — Call Immediately",IF(G227&gt;0,"🟠 OVERDUE — Call Today",IF(G227=0,"🟡 DUE TODAY — Schedule Now",IF(G227&gt;-3,"🔵 Due This Week","🟢 Upcoming — On Track"))))</f>
        <v>🟡 DUE TODAY — Schedule Now</v>
      </c>
    </row>
    <row r="228" customFormat="false" ht="15" hidden="false" customHeight="true" outlineLevel="0" collapsed="false">
      <c r="A228" s="70" t="s">
        <v>522</v>
      </c>
      <c r="B228" s="72" t="s">
        <v>523</v>
      </c>
      <c r="C228" s="72" t="s">
        <v>93</v>
      </c>
      <c r="D228" s="70" t="s">
        <v>104</v>
      </c>
      <c r="E228" s="71" t="n">
        <v>45468</v>
      </c>
      <c r="F228" s="71" t="n">
        <v>46201</v>
      </c>
      <c r="G228" s="88" t="n">
        <f aca="true">IFERROR(TODAY()-F228,0)</f>
        <v>0</v>
      </c>
      <c r="H228" s="110" t="str">
        <f aca="false">IF(G228&gt;7,"🔴 CRITICAL — Call Immediately",IF(G228&gt;0,"🟠 OVERDUE — Call Today",IF(G228=0,"🟡 DUE TODAY — Schedule Now",IF(G228&gt;-3,"🔵 Due This Week","🟢 Upcoming — On Track"))))</f>
        <v>🟡 DUE TODAY — Schedule Now</v>
      </c>
    </row>
    <row r="229" customFormat="false" ht="15" hidden="false" customHeight="true" outlineLevel="0" collapsed="false">
      <c r="A229" s="75" t="s">
        <v>655</v>
      </c>
      <c r="B229" s="77" t="s">
        <v>656</v>
      </c>
      <c r="C229" s="77" t="s">
        <v>103</v>
      </c>
      <c r="D229" s="75" t="s">
        <v>161</v>
      </c>
      <c r="E229" s="76" t="n">
        <v>45456</v>
      </c>
      <c r="F229" s="76" t="n">
        <v>46201</v>
      </c>
      <c r="G229" s="87" t="n">
        <f aca="true">IFERROR(TODAY()-F229,0)</f>
        <v>0</v>
      </c>
      <c r="H229" s="112" t="str">
        <f aca="false">IF(G229&gt;7,"🔴 CRITICAL — Call Immediately",IF(G229&gt;0,"🟠 OVERDUE — Call Today",IF(G229=0,"🟡 DUE TODAY — Schedule Now",IF(G229&gt;-3,"🔵 Due This Week","🟢 Upcoming — On Track"))))</f>
        <v>🟡 DUE TODAY — Schedule Now</v>
      </c>
    </row>
    <row r="230" customFormat="false" ht="15" hidden="false" customHeight="true" outlineLevel="0" collapsed="false">
      <c r="A230" s="70" t="s">
        <v>694</v>
      </c>
      <c r="B230" s="72" t="s">
        <v>695</v>
      </c>
      <c r="C230" s="72" t="s">
        <v>178</v>
      </c>
      <c r="D230" s="70" t="s">
        <v>104</v>
      </c>
      <c r="E230" s="71" t="n">
        <v>45409</v>
      </c>
      <c r="F230" s="71" t="n">
        <v>46201</v>
      </c>
      <c r="G230" s="88" t="n">
        <f aca="true">IFERROR(TODAY()-F230,0)</f>
        <v>0</v>
      </c>
      <c r="H230" s="110" t="str">
        <f aca="false">IF(G230&gt;7,"🔴 CRITICAL — Call Immediately",IF(G230&gt;0,"🟠 OVERDUE — Call Today",IF(G230=0,"🟡 DUE TODAY — Schedule Now",IF(G230&gt;-3,"🔵 Due This Week","🟢 Upcoming — On Track"))))</f>
        <v>🟡 DUE TODAY — Schedule Now</v>
      </c>
    </row>
    <row r="231" customFormat="false" ht="15" hidden="false" customHeight="true" outlineLevel="0" collapsed="false">
      <c r="A231" s="75" t="s">
        <v>714</v>
      </c>
      <c r="B231" s="77" t="s">
        <v>715</v>
      </c>
      <c r="C231" s="77" t="s">
        <v>103</v>
      </c>
      <c r="D231" s="75" t="s">
        <v>104</v>
      </c>
      <c r="E231" s="76" t="n">
        <v>45531</v>
      </c>
      <c r="F231" s="76" t="n">
        <v>46201</v>
      </c>
      <c r="G231" s="87" t="n">
        <f aca="true">IFERROR(TODAY()-F231,0)</f>
        <v>0</v>
      </c>
      <c r="H231" s="112" t="str">
        <f aca="false">IF(G231&gt;7,"🔴 CRITICAL — Call Immediately",IF(G231&gt;0,"🟠 OVERDUE — Call Today",IF(G231=0,"🟡 DUE TODAY — Schedule Now",IF(G231&gt;-3,"🔵 Due This Week","🟢 Upcoming — On Track"))))</f>
        <v>🟡 DUE TODAY — Schedule Now</v>
      </c>
    </row>
    <row r="232" customFormat="false" ht="15" hidden="false" customHeight="true" outlineLevel="0" collapsed="false">
      <c r="A232" s="70" t="s">
        <v>800</v>
      </c>
      <c r="B232" s="72" t="s">
        <v>801</v>
      </c>
      <c r="C232" s="72" t="s">
        <v>103</v>
      </c>
      <c r="D232" s="70" t="s">
        <v>104</v>
      </c>
      <c r="E232" s="71" t="n">
        <v>45551</v>
      </c>
      <c r="F232" s="71" t="n">
        <v>46201</v>
      </c>
      <c r="G232" s="88" t="n">
        <f aca="true">IFERROR(TODAY()-F232,0)</f>
        <v>0</v>
      </c>
      <c r="H232" s="110" t="str">
        <f aca="false">IF(G232&gt;7,"🔴 CRITICAL — Call Immediately",IF(G232&gt;0,"🟠 OVERDUE — Call Today",IF(G232=0,"🟡 DUE TODAY — Schedule Now",IF(G232&gt;-3,"🔵 Due This Week","🟢 Upcoming — On Track"))))</f>
        <v>🟡 DUE TODAY — Schedule Now</v>
      </c>
    </row>
    <row r="233" customFormat="false" ht="15" hidden="false" customHeight="true" outlineLevel="0" collapsed="false">
      <c r="A233" s="75" t="s">
        <v>803</v>
      </c>
      <c r="B233" s="77" t="s">
        <v>804</v>
      </c>
      <c r="C233" s="77" t="s">
        <v>191</v>
      </c>
      <c r="D233" s="75" t="s">
        <v>161</v>
      </c>
      <c r="E233" s="76" t="n">
        <v>45564</v>
      </c>
      <c r="F233" s="76" t="n">
        <v>46201</v>
      </c>
      <c r="G233" s="87" t="n">
        <f aca="true">IFERROR(TODAY()-F233,0)</f>
        <v>0</v>
      </c>
      <c r="H233" s="112" t="str">
        <f aca="false">IF(G233&gt;7,"🔴 CRITICAL — Call Immediately",IF(G233&gt;0,"🟠 OVERDUE — Call Today",IF(G233=0,"🟡 DUE TODAY — Schedule Now",IF(G233&gt;-3,"🔵 Due This Week","🟢 Upcoming — On Track"))))</f>
        <v>🟡 DUE TODAY — Schedule Now</v>
      </c>
    </row>
    <row r="234" customFormat="false" ht="15" hidden="false" customHeight="true" outlineLevel="0" collapsed="false">
      <c r="A234" s="70" t="s">
        <v>835</v>
      </c>
      <c r="B234" s="72" t="s">
        <v>836</v>
      </c>
      <c r="C234" s="72" t="s">
        <v>93</v>
      </c>
      <c r="D234" s="70" t="s">
        <v>143</v>
      </c>
      <c r="E234" s="71" t="n">
        <v>45528</v>
      </c>
      <c r="F234" s="71" t="n">
        <v>46201</v>
      </c>
      <c r="G234" s="88" t="n">
        <f aca="true">IFERROR(TODAY()-F234,0)</f>
        <v>0</v>
      </c>
      <c r="H234" s="110" t="str">
        <f aca="false">IF(G234&gt;7,"🔴 CRITICAL — Call Immediately",IF(G234&gt;0,"🟠 OVERDUE — Call Today",IF(G234=0,"🟡 DUE TODAY — Schedule Now",IF(G234&gt;-3,"🔵 Due This Week","🟢 Upcoming — On Track"))))</f>
        <v>🟡 DUE TODAY — Schedule Now</v>
      </c>
    </row>
    <row r="235" customFormat="false" ht="15" hidden="false" customHeight="true" outlineLevel="0" collapsed="false">
      <c r="A235" s="75" t="s">
        <v>986</v>
      </c>
      <c r="B235" s="77" t="s">
        <v>987</v>
      </c>
      <c r="C235" s="77" t="s">
        <v>191</v>
      </c>
      <c r="D235" s="75" t="s">
        <v>161</v>
      </c>
      <c r="E235" s="76" t="n">
        <v>45529</v>
      </c>
      <c r="F235" s="76" t="n">
        <v>46201</v>
      </c>
      <c r="G235" s="87" t="n">
        <f aca="true">IFERROR(TODAY()-F235,0)</f>
        <v>0</v>
      </c>
      <c r="H235" s="112" t="str">
        <f aca="false">IF(G235&gt;7,"🔴 CRITICAL — Call Immediately",IF(G235&gt;0,"🟠 OVERDUE — Call Today",IF(G235=0,"🟡 DUE TODAY — Schedule Now",IF(G235&gt;-3,"🔵 Due This Week","🟢 Upcoming — On Track"))))</f>
        <v>🟡 DUE TODAY — Schedule Now</v>
      </c>
    </row>
    <row r="236" customFormat="false" ht="15" hidden="false" customHeight="true" outlineLevel="0" collapsed="false">
      <c r="A236" s="70" t="s">
        <v>1016</v>
      </c>
      <c r="B236" s="72" t="s">
        <v>1017</v>
      </c>
      <c r="C236" s="72" t="s">
        <v>112</v>
      </c>
      <c r="D236" s="70" t="s">
        <v>143</v>
      </c>
      <c r="E236" s="71" t="n">
        <v>45578</v>
      </c>
      <c r="F236" s="71" t="n">
        <v>46201</v>
      </c>
      <c r="G236" s="88" t="n">
        <f aca="true">IFERROR(TODAY()-F236,0)</f>
        <v>0</v>
      </c>
      <c r="H236" s="110" t="str">
        <f aca="false">IF(G236&gt;7,"🔴 CRITICAL — Call Immediately",IF(G236&gt;0,"🟠 OVERDUE — Call Today",IF(G236=0,"🟡 DUE TODAY — Schedule Now",IF(G236&gt;-3,"🔵 Due This Week","🟢 Upcoming — On Track"))))</f>
        <v>🟡 DUE TODAY — Schedule Now</v>
      </c>
    </row>
    <row r="237" customFormat="false" ht="15" hidden="false" customHeight="true" outlineLevel="0" collapsed="false">
      <c r="A237" s="75" t="s">
        <v>1130</v>
      </c>
      <c r="B237" s="77" t="s">
        <v>1131</v>
      </c>
      <c r="C237" s="77" t="s">
        <v>148</v>
      </c>
      <c r="D237" s="75" t="s">
        <v>104</v>
      </c>
      <c r="E237" s="76" t="n">
        <v>45485</v>
      </c>
      <c r="F237" s="76" t="n">
        <v>46201</v>
      </c>
      <c r="G237" s="87" t="n">
        <f aca="true">IFERROR(TODAY()-F237,0)</f>
        <v>0</v>
      </c>
      <c r="H237" s="112" t="str">
        <f aca="false">IF(G237&gt;7,"🔴 CRITICAL — Call Immediately",IF(G237&gt;0,"🟠 OVERDUE — Call Today",IF(G237=0,"🟡 DUE TODAY — Schedule Now",IF(G237&gt;-3,"🔵 Due This Week","🟢 Upcoming — On Track"))))</f>
        <v>🟡 DUE TODAY — Schedule Now</v>
      </c>
    </row>
    <row r="238" customFormat="false" ht="15" hidden="false" customHeight="true" outlineLevel="0" collapsed="false">
      <c r="A238" s="70" t="s">
        <v>1474</v>
      </c>
      <c r="B238" s="72" t="s">
        <v>1475</v>
      </c>
      <c r="C238" s="72" t="s">
        <v>148</v>
      </c>
      <c r="D238" s="70" t="s">
        <v>161</v>
      </c>
      <c r="E238" s="71" t="n">
        <v>45672</v>
      </c>
      <c r="F238" s="71" t="n">
        <v>46201</v>
      </c>
      <c r="G238" s="88" t="n">
        <f aca="true">IFERROR(TODAY()-F238,0)</f>
        <v>0</v>
      </c>
      <c r="H238" s="110" t="str">
        <f aca="false">IF(G238&gt;7,"🔴 CRITICAL — Call Immediately",IF(G238&gt;0,"🟠 OVERDUE — Call Today",IF(G238=0,"🟡 DUE TODAY — Schedule Now",IF(G238&gt;-3,"🔵 Due This Week","🟢 Upcoming — On Track"))))</f>
        <v>🟡 DUE TODAY — Schedule Now</v>
      </c>
    </row>
    <row r="239" customFormat="false" ht="15" hidden="false" customHeight="true" outlineLevel="0" collapsed="false">
      <c r="A239" s="75" t="s">
        <v>1495</v>
      </c>
      <c r="B239" s="77" t="s">
        <v>1496</v>
      </c>
      <c r="C239" s="77" t="s">
        <v>170</v>
      </c>
      <c r="D239" s="75" t="s">
        <v>94</v>
      </c>
      <c r="E239" s="76" t="n">
        <v>45660</v>
      </c>
      <c r="F239" s="76" t="n">
        <v>46201</v>
      </c>
      <c r="G239" s="87" t="n">
        <f aca="true">IFERROR(TODAY()-F239,0)</f>
        <v>0</v>
      </c>
      <c r="H239" s="112" t="str">
        <f aca="false">IF(G239&gt;7,"🔴 CRITICAL — Call Immediately",IF(G239&gt;0,"🟠 OVERDUE — Call Today",IF(G239=0,"🟡 DUE TODAY — Schedule Now",IF(G239&gt;-3,"🔵 Due This Week","🟢 Upcoming — On Track"))))</f>
        <v>🟡 DUE TODAY — Schedule Now</v>
      </c>
    </row>
    <row r="240" customFormat="false" ht="15" hidden="false" customHeight="true" outlineLevel="0" collapsed="false">
      <c r="A240" s="70" t="s">
        <v>360</v>
      </c>
      <c r="B240" s="72" t="s">
        <v>361</v>
      </c>
      <c r="C240" s="72" t="s">
        <v>112</v>
      </c>
      <c r="D240" s="70" t="s">
        <v>161</v>
      </c>
      <c r="E240" s="71" t="n">
        <v>45526</v>
      </c>
      <c r="F240" s="71" t="n">
        <v>46202</v>
      </c>
      <c r="G240" s="88" t="n">
        <f aca="true">IFERROR(TODAY()-F240,0)</f>
        <v>-1</v>
      </c>
      <c r="H240" s="110" t="str">
        <f aca="false">IF(G240&gt;7,"🔴 CRITICAL — Call Immediately",IF(G240&gt;0,"🟠 OVERDUE — Call Today",IF(G240=0,"🟡 DUE TODAY — Schedule Now",IF(G240&gt;-3,"🔵 Due This Week","🟢 Upcoming — On Track"))))</f>
        <v>🔵 Due This Week</v>
      </c>
    </row>
    <row r="241" customFormat="false" ht="15" hidden="false" customHeight="true" outlineLevel="0" collapsed="false">
      <c r="A241" s="75" t="s">
        <v>620</v>
      </c>
      <c r="B241" s="77" t="s">
        <v>621</v>
      </c>
      <c r="C241" s="77" t="s">
        <v>209</v>
      </c>
      <c r="D241" s="75" t="s">
        <v>161</v>
      </c>
      <c r="E241" s="76" t="n">
        <v>45648</v>
      </c>
      <c r="F241" s="76" t="n">
        <v>46202</v>
      </c>
      <c r="G241" s="87" t="n">
        <f aca="true">IFERROR(TODAY()-F241,0)</f>
        <v>-1</v>
      </c>
      <c r="H241" s="112" t="str">
        <f aca="false">IF(G241&gt;7,"🔴 CRITICAL — Call Immediately",IF(G241&gt;0,"🟠 OVERDUE — Call Today",IF(G241=0,"🟡 DUE TODAY — Schedule Now",IF(G241&gt;-3,"🔵 Due This Week","🟢 Upcoming — On Track"))))</f>
        <v>🔵 Due This Week</v>
      </c>
    </row>
    <row r="242" customFormat="false" ht="15" hidden="false" customHeight="true" outlineLevel="0" collapsed="false">
      <c r="A242" s="70" t="s">
        <v>676</v>
      </c>
      <c r="B242" s="72" t="s">
        <v>677</v>
      </c>
      <c r="C242" s="72" t="s">
        <v>103</v>
      </c>
      <c r="D242" s="70" t="s">
        <v>143</v>
      </c>
      <c r="E242" s="71" t="n">
        <v>45493</v>
      </c>
      <c r="F242" s="71" t="n">
        <v>46202</v>
      </c>
      <c r="G242" s="88" t="n">
        <f aca="true">IFERROR(TODAY()-F242,0)</f>
        <v>-1</v>
      </c>
      <c r="H242" s="110" t="str">
        <f aca="false">IF(G242&gt;7,"🔴 CRITICAL — Call Immediately",IF(G242&gt;0,"🟠 OVERDUE — Call Today",IF(G242=0,"🟡 DUE TODAY — Schedule Now",IF(G242&gt;-3,"🔵 Due This Week","🟢 Upcoming — On Track"))))</f>
        <v>🔵 Due This Week</v>
      </c>
    </row>
    <row r="243" customFormat="false" ht="15" hidden="false" customHeight="true" outlineLevel="0" collapsed="false">
      <c r="A243" s="75" t="s">
        <v>682</v>
      </c>
      <c r="B243" s="77" t="s">
        <v>683</v>
      </c>
      <c r="C243" s="77" t="s">
        <v>93</v>
      </c>
      <c r="D243" s="75" t="s">
        <v>161</v>
      </c>
      <c r="E243" s="76" t="n">
        <v>45414</v>
      </c>
      <c r="F243" s="76" t="n">
        <v>46202</v>
      </c>
      <c r="G243" s="87" t="n">
        <f aca="true">IFERROR(TODAY()-F243,0)</f>
        <v>-1</v>
      </c>
      <c r="H243" s="112" t="str">
        <f aca="false">IF(G243&gt;7,"🔴 CRITICAL — Call Immediately",IF(G243&gt;0,"🟠 OVERDUE — Call Today",IF(G243=0,"🟡 DUE TODAY — Schedule Now",IF(G243&gt;-3,"🔵 Due This Week","🟢 Upcoming — On Track"))))</f>
        <v>🔵 Due This Week</v>
      </c>
    </row>
    <row r="244" customFormat="false" ht="15" hidden="false" customHeight="true" outlineLevel="0" collapsed="false">
      <c r="A244" s="70" t="s">
        <v>702</v>
      </c>
      <c r="B244" s="72" t="s">
        <v>703</v>
      </c>
      <c r="C244" s="72" t="s">
        <v>170</v>
      </c>
      <c r="D244" s="70" t="s">
        <v>104</v>
      </c>
      <c r="E244" s="71" t="n">
        <v>45482</v>
      </c>
      <c r="F244" s="71" t="n">
        <v>46202</v>
      </c>
      <c r="G244" s="88" t="n">
        <f aca="true">IFERROR(TODAY()-F244,0)</f>
        <v>-1</v>
      </c>
      <c r="H244" s="110" t="str">
        <f aca="false">IF(G244&gt;7,"🔴 CRITICAL — Call Immediately",IF(G244&gt;0,"🟠 OVERDUE — Call Today",IF(G244=0,"🟡 DUE TODAY — Schedule Now",IF(G244&gt;-3,"🔵 Due This Week","🟢 Upcoming — On Track"))))</f>
        <v>🔵 Due This Week</v>
      </c>
    </row>
    <row r="245" customFormat="false" ht="15" hidden="false" customHeight="true" outlineLevel="0" collapsed="false">
      <c r="A245" s="75" t="s">
        <v>740</v>
      </c>
      <c r="B245" s="77" t="s">
        <v>191</v>
      </c>
      <c r="C245" s="77" t="s">
        <v>178</v>
      </c>
      <c r="D245" s="75" t="s">
        <v>94</v>
      </c>
      <c r="E245" s="76" t="n">
        <v>45471</v>
      </c>
      <c r="F245" s="76" t="n">
        <v>46202</v>
      </c>
      <c r="G245" s="87" t="n">
        <f aca="true">IFERROR(TODAY()-F245,0)</f>
        <v>-1</v>
      </c>
      <c r="H245" s="112" t="str">
        <f aca="false">IF(G245&gt;7,"🔴 CRITICAL — Call Immediately",IF(G245&gt;0,"🟠 OVERDUE — Call Today",IF(G245=0,"🟡 DUE TODAY — Schedule Now",IF(G245&gt;-3,"🔵 Due This Week","🟢 Upcoming — On Track"))))</f>
        <v>🔵 Due This Week</v>
      </c>
    </row>
    <row r="246" customFormat="false" ht="15" hidden="false" customHeight="true" outlineLevel="0" collapsed="false">
      <c r="A246" s="70" t="s">
        <v>832</v>
      </c>
      <c r="B246" s="72" t="s">
        <v>833</v>
      </c>
      <c r="C246" s="72" t="s">
        <v>170</v>
      </c>
      <c r="D246" s="70" t="s">
        <v>94</v>
      </c>
      <c r="E246" s="71" t="n">
        <v>45513</v>
      </c>
      <c r="F246" s="71" t="n">
        <v>46202</v>
      </c>
      <c r="G246" s="88" t="n">
        <f aca="true">IFERROR(TODAY()-F246,0)</f>
        <v>-1</v>
      </c>
      <c r="H246" s="110" t="str">
        <f aca="false">IF(G246&gt;7,"🔴 CRITICAL — Call Immediately",IF(G246&gt;0,"🟠 OVERDUE — Call Today",IF(G246=0,"🟡 DUE TODAY — Schedule Now",IF(G246&gt;-3,"🔵 Due This Week","🟢 Upcoming — On Track"))))</f>
        <v>🔵 Due This Week</v>
      </c>
    </row>
    <row r="247" customFormat="false" ht="15" hidden="false" customHeight="true" outlineLevel="0" collapsed="false">
      <c r="A247" s="75" t="s">
        <v>924</v>
      </c>
      <c r="B247" s="77" t="s">
        <v>925</v>
      </c>
      <c r="C247" s="77" t="s">
        <v>148</v>
      </c>
      <c r="D247" s="75" t="s">
        <v>161</v>
      </c>
      <c r="E247" s="76" t="n">
        <v>45717</v>
      </c>
      <c r="F247" s="76" t="n">
        <v>46202</v>
      </c>
      <c r="G247" s="87" t="n">
        <f aca="true">IFERROR(TODAY()-F247,0)</f>
        <v>-1</v>
      </c>
      <c r="H247" s="112" t="str">
        <f aca="false">IF(G247&gt;7,"🔴 CRITICAL — Call Immediately",IF(G247&gt;0,"🟠 OVERDUE — Call Today",IF(G247=0,"🟡 DUE TODAY — Schedule Now",IF(G247&gt;-3,"🔵 Due This Week","🟢 Upcoming — On Track"))))</f>
        <v>🔵 Due This Week</v>
      </c>
    </row>
    <row r="248" customFormat="false" ht="15" hidden="false" customHeight="true" outlineLevel="0" collapsed="false">
      <c r="A248" s="70" t="s">
        <v>951</v>
      </c>
      <c r="B248" s="72" t="s">
        <v>459</v>
      </c>
      <c r="C248" s="72" t="s">
        <v>148</v>
      </c>
      <c r="D248" s="70" t="s">
        <v>104</v>
      </c>
      <c r="E248" s="71" t="n">
        <v>45673</v>
      </c>
      <c r="F248" s="71" t="n">
        <v>46202</v>
      </c>
      <c r="G248" s="88" t="n">
        <f aca="true">IFERROR(TODAY()-F248,0)</f>
        <v>-1</v>
      </c>
      <c r="H248" s="110" t="str">
        <f aca="false">IF(G248&gt;7,"🔴 CRITICAL — Call Immediately",IF(G248&gt;0,"🟠 OVERDUE — Call Today",IF(G248=0,"🟡 DUE TODAY — Schedule Now",IF(G248&gt;-3,"🔵 Due This Week","🟢 Upcoming — On Track"))))</f>
        <v>🔵 Due This Week</v>
      </c>
    </row>
    <row r="249" customFormat="false" ht="15" hidden="false" customHeight="true" outlineLevel="0" collapsed="false">
      <c r="A249" s="75" t="s">
        <v>1007</v>
      </c>
      <c r="B249" s="77" t="s">
        <v>1008</v>
      </c>
      <c r="C249" s="77" t="s">
        <v>93</v>
      </c>
      <c r="D249" s="75" t="s">
        <v>94</v>
      </c>
      <c r="E249" s="76" t="n">
        <v>45509</v>
      </c>
      <c r="F249" s="76" t="n">
        <v>46202</v>
      </c>
      <c r="G249" s="87" t="n">
        <f aca="true">IFERROR(TODAY()-F249,0)</f>
        <v>-1</v>
      </c>
      <c r="H249" s="112" t="str">
        <f aca="false">IF(G249&gt;7,"🔴 CRITICAL — Call Immediately",IF(G249&gt;0,"🟠 OVERDUE — Call Today",IF(G249=0,"🟡 DUE TODAY — Schedule Now",IF(G249&gt;-3,"🔵 Due This Week","🟢 Upcoming — On Track"))))</f>
        <v>🔵 Due This Week</v>
      </c>
    </row>
    <row r="250" customFormat="false" ht="15" hidden="false" customHeight="true" outlineLevel="0" collapsed="false">
      <c r="A250" s="70" t="s">
        <v>1035</v>
      </c>
      <c r="B250" s="72" t="s">
        <v>1036</v>
      </c>
      <c r="C250" s="72" t="s">
        <v>103</v>
      </c>
      <c r="D250" s="70" t="s">
        <v>120</v>
      </c>
      <c r="E250" s="71" t="n">
        <v>45583</v>
      </c>
      <c r="F250" s="71" t="n">
        <v>46202</v>
      </c>
      <c r="G250" s="88" t="n">
        <f aca="true">IFERROR(TODAY()-F250,0)</f>
        <v>-1</v>
      </c>
      <c r="H250" s="110" t="str">
        <f aca="false">IF(G250&gt;7,"🔴 CRITICAL — Call Immediately",IF(G250&gt;0,"🟠 OVERDUE — Call Today",IF(G250=0,"🟡 DUE TODAY — Schedule Now",IF(G250&gt;-3,"🔵 Due This Week","🟢 Upcoming — On Track"))))</f>
        <v>🔵 Due This Week</v>
      </c>
    </row>
    <row r="251" customFormat="false" ht="15" hidden="false" customHeight="true" outlineLevel="0" collapsed="false">
      <c r="A251" s="75" t="s">
        <v>1038</v>
      </c>
      <c r="B251" s="77" t="s">
        <v>1039</v>
      </c>
      <c r="C251" s="77" t="s">
        <v>170</v>
      </c>
      <c r="D251" s="75" t="s">
        <v>104</v>
      </c>
      <c r="E251" s="76" t="n">
        <v>45476</v>
      </c>
      <c r="F251" s="76" t="n">
        <v>46202</v>
      </c>
      <c r="G251" s="87" t="n">
        <f aca="true">IFERROR(TODAY()-F251,0)</f>
        <v>-1</v>
      </c>
      <c r="H251" s="112" t="str">
        <f aca="false">IF(G251&gt;7,"🔴 CRITICAL — Call Immediately",IF(G251&gt;0,"🟠 OVERDUE — Call Today",IF(G251=0,"🟡 DUE TODAY — Schedule Now",IF(G251&gt;-3,"🔵 Due This Week","🟢 Upcoming — On Track"))))</f>
        <v>🔵 Due This Week</v>
      </c>
    </row>
    <row r="252" customFormat="false" ht="15" hidden="false" customHeight="true" outlineLevel="0" collapsed="false">
      <c r="A252" s="70" t="s">
        <v>1081</v>
      </c>
      <c r="B252" s="72" t="s">
        <v>1082</v>
      </c>
      <c r="C252" s="72" t="s">
        <v>209</v>
      </c>
      <c r="D252" s="70" t="s">
        <v>161</v>
      </c>
      <c r="E252" s="71" t="n">
        <v>45453</v>
      </c>
      <c r="F252" s="71" t="n">
        <v>46202</v>
      </c>
      <c r="G252" s="88" t="n">
        <f aca="true">IFERROR(TODAY()-F252,0)</f>
        <v>-1</v>
      </c>
      <c r="H252" s="110" t="str">
        <f aca="false">IF(G252&gt;7,"🔴 CRITICAL — Call Immediately",IF(G252&gt;0,"🟠 OVERDUE — Call Today",IF(G252=0,"🟡 DUE TODAY — Schedule Now",IF(G252&gt;-3,"🔵 Due This Week","🟢 Upcoming — On Track"))))</f>
        <v>🔵 Due This Week</v>
      </c>
    </row>
    <row r="253" customFormat="false" ht="15" hidden="false" customHeight="true" outlineLevel="0" collapsed="false">
      <c r="A253" s="75" t="s">
        <v>1136</v>
      </c>
      <c r="B253" s="77" t="s">
        <v>945</v>
      </c>
      <c r="C253" s="77" t="s">
        <v>148</v>
      </c>
      <c r="D253" s="75" t="s">
        <v>120</v>
      </c>
      <c r="E253" s="76" t="n">
        <v>45708</v>
      </c>
      <c r="F253" s="76" t="n">
        <v>46202</v>
      </c>
      <c r="G253" s="87" t="n">
        <f aca="true">IFERROR(TODAY()-F253,0)</f>
        <v>-1</v>
      </c>
      <c r="H253" s="112" t="str">
        <f aca="false">IF(G253&gt;7,"🔴 CRITICAL — Call Immediately",IF(G253&gt;0,"🟠 OVERDUE — Call Today",IF(G253=0,"🟡 DUE TODAY — Schedule Now",IF(G253&gt;-3,"🔵 Due This Week","🟢 Upcoming — On Track"))))</f>
        <v>🔵 Due This Week</v>
      </c>
    </row>
    <row r="254" customFormat="false" ht="15" hidden="false" customHeight="true" outlineLevel="0" collapsed="false">
      <c r="A254" s="70" t="s">
        <v>1146</v>
      </c>
      <c r="B254" s="72" t="s">
        <v>1147</v>
      </c>
      <c r="C254" s="72" t="s">
        <v>209</v>
      </c>
      <c r="D254" s="70" t="s">
        <v>161</v>
      </c>
      <c r="E254" s="71" t="n">
        <v>45647</v>
      </c>
      <c r="F254" s="71" t="n">
        <v>46202</v>
      </c>
      <c r="G254" s="88" t="n">
        <f aca="true">IFERROR(TODAY()-F254,0)</f>
        <v>-1</v>
      </c>
      <c r="H254" s="110" t="str">
        <f aca="false">IF(G254&gt;7,"🔴 CRITICAL — Call Immediately",IF(G254&gt;0,"🟠 OVERDUE — Call Today",IF(G254=0,"🟡 DUE TODAY — Schedule Now",IF(G254&gt;-3,"🔵 Due This Week","🟢 Upcoming — On Track"))))</f>
        <v>🔵 Due This Week</v>
      </c>
    </row>
    <row r="255" customFormat="false" ht="15" hidden="false" customHeight="true" outlineLevel="0" collapsed="false">
      <c r="A255" s="75" t="s">
        <v>1268</v>
      </c>
      <c r="B255" s="77" t="s">
        <v>1269</v>
      </c>
      <c r="C255" s="77" t="s">
        <v>209</v>
      </c>
      <c r="D255" s="75" t="s">
        <v>161</v>
      </c>
      <c r="E255" s="76" t="n">
        <v>45680</v>
      </c>
      <c r="F255" s="76" t="n">
        <v>46202</v>
      </c>
      <c r="G255" s="87" t="n">
        <f aca="true">IFERROR(TODAY()-F255,0)</f>
        <v>-1</v>
      </c>
      <c r="H255" s="112" t="str">
        <f aca="false">IF(G255&gt;7,"🔴 CRITICAL — Call Immediately",IF(G255&gt;0,"🟠 OVERDUE — Call Today",IF(G255=0,"🟡 DUE TODAY — Schedule Now",IF(G255&gt;-3,"🔵 Due This Week","🟢 Upcoming — On Track"))))</f>
        <v>🔵 Due This Week</v>
      </c>
    </row>
    <row r="256" customFormat="false" ht="15" hidden="false" customHeight="true" outlineLevel="0" collapsed="false">
      <c r="A256" s="70" t="s">
        <v>1315</v>
      </c>
      <c r="B256" s="72" t="s">
        <v>1316</v>
      </c>
      <c r="C256" s="72" t="s">
        <v>112</v>
      </c>
      <c r="D256" s="70" t="s">
        <v>143</v>
      </c>
      <c r="E256" s="71" t="n">
        <v>45391</v>
      </c>
      <c r="F256" s="71" t="n">
        <v>46202</v>
      </c>
      <c r="G256" s="88" t="n">
        <f aca="true">IFERROR(TODAY()-F256,0)</f>
        <v>-1</v>
      </c>
      <c r="H256" s="110" t="str">
        <f aca="false">IF(G256&gt;7,"🔴 CRITICAL — Call Immediately",IF(G256&gt;0,"🟠 OVERDUE — Call Today",IF(G256=0,"🟡 DUE TODAY — Schedule Now",IF(G256&gt;-3,"🔵 Due This Week","🟢 Upcoming — On Track"))))</f>
        <v>🔵 Due This Week</v>
      </c>
    </row>
    <row r="257" customFormat="false" ht="15" hidden="false" customHeight="true" outlineLevel="0" collapsed="false">
      <c r="A257" s="75" t="s">
        <v>1418</v>
      </c>
      <c r="B257" s="77" t="s">
        <v>1419</v>
      </c>
      <c r="C257" s="77" t="s">
        <v>191</v>
      </c>
      <c r="D257" s="75" t="s">
        <v>161</v>
      </c>
      <c r="E257" s="76" t="n">
        <v>45436</v>
      </c>
      <c r="F257" s="76" t="n">
        <v>46202</v>
      </c>
      <c r="G257" s="87" t="n">
        <f aca="true">IFERROR(TODAY()-F257,0)</f>
        <v>-1</v>
      </c>
      <c r="H257" s="112" t="str">
        <f aca="false">IF(G257&gt;7,"🔴 CRITICAL — Call Immediately",IF(G257&gt;0,"🟠 OVERDUE — Call Today",IF(G257=0,"🟡 DUE TODAY — Schedule Now",IF(G257&gt;-3,"🔵 Due This Week","🟢 Upcoming — On Track"))))</f>
        <v>🔵 Due This Week</v>
      </c>
    </row>
    <row r="258" customFormat="false" ht="15" hidden="false" customHeight="true" outlineLevel="0" collapsed="false">
      <c r="A258" s="70" t="s">
        <v>1468</v>
      </c>
      <c r="B258" s="72" t="s">
        <v>251</v>
      </c>
      <c r="C258" s="72" t="s">
        <v>142</v>
      </c>
      <c r="D258" s="70" t="s">
        <v>161</v>
      </c>
      <c r="E258" s="71" t="n">
        <v>45390</v>
      </c>
      <c r="F258" s="71" t="n">
        <v>46202</v>
      </c>
      <c r="G258" s="88" t="n">
        <f aca="true">IFERROR(TODAY()-F258,0)</f>
        <v>-1</v>
      </c>
      <c r="H258" s="110" t="str">
        <f aca="false">IF(G258&gt;7,"🔴 CRITICAL — Call Immediately",IF(G258&gt;0,"🟠 OVERDUE — Call Today",IF(G258=0,"🟡 DUE TODAY — Schedule Now",IF(G258&gt;-3,"🔵 Due This Week","🟢 Upcoming — On Track"))))</f>
        <v>🔵 Due This Week</v>
      </c>
    </row>
    <row r="259" customFormat="false" ht="15" hidden="false" customHeight="true" outlineLevel="0" collapsed="false">
      <c r="A259" s="75" t="s">
        <v>1536</v>
      </c>
      <c r="B259" s="77" t="s">
        <v>1537</v>
      </c>
      <c r="C259" s="77" t="s">
        <v>170</v>
      </c>
      <c r="D259" s="75" t="s">
        <v>94</v>
      </c>
      <c r="E259" s="76" t="n">
        <v>45427</v>
      </c>
      <c r="F259" s="76" t="n">
        <v>46202</v>
      </c>
      <c r="G259" s="87" t="n">
        <f aca="true">IFERROR(TODAY()-F259,0)</f>
        <v>-1</v>
      </c>
      <c r="H259" s="112" t="str">
        <f aca="false">IF(G259&gt;7,"🔴 CRITICAL — Call Immediately",IF(G259&gt;0,"🟠 OVERDUE — Call Today",IF(G259=0,"🟡 DUE TODAY — Schedule Now",IF(G259&gt;-3,"🔵 Due This Week","🟢 Upcoming — On Track"))))</f>
        <v>🔵 Due This Week</v>
      </c>
    </row>
    <row r="260" customFormat="false" ht="15" hidden="false" customHeight="true" outlineLevel="0" collapsed="false">
      <c r="A260" s="70" t="s">
        <v>1557</v>
      </c>
      <c r="B260" s="72" t="s">
        <v>1558</v>
      </c>
      <c r="C260" s="72" t="s">
        <v>170</v>
      </c>
      <c r="D260" s="70" t="s">
        <v>143</v>
      </c>
      <c r="E260" s="71" t="n">
        <v>45391</v>
      </c>
      <c r="F260" s="71" t="n">
        <v>46202</v>
      </c>
      <c r="G260" s="88" t="n">
        <f aca="true">IFERROR(TODAY()-F260,0)</f>
        <v>-1</v>
      </c>
      <c r="H260" s="110" t="str">
        <f aca="false">IF(G260&gt;7,"🔴 CRITICAL — Call Immediately",IF(G260&gt;0,"🟠 OVERDUE — Call Today",IF(G260=0,"🟡 DUE TODAY — Schedule Now",IF(G260&gt;-3,"🔵 Due This Week","🟢 Upcoming — On Track"))))</f>
        <v>🔵 Due This Week</v>
      </c>
    </row>
    <row r="261" customFormat="false" ht="15" hidden="false" customHeight="true" outlineLevel="0" collapsed="false">
      <c r="A261" s="75" t="s">
        <v>1560</v>
      </c>
      <c r="B261" s="77" t="s">
        <v>1201</v>
      </c>
      <c r="C261" s="77" t="s">
        <v>142</v>
      </c>
      <c r="D261" s="75" t="s">
        <v>94</v>
      </c>
      <c r="E261" s="76" t="n">
        <v>45445</v>
      </c>
      <c r="F261" s="76" t="n">
        <v>46202</v>
      </c>
      <c r="G261" s="87" t="n">
        <f aca="true">IFERROR(TODAY()-F261,0)</f>
        <v>-1</v>
      </c>
      <c r="H261" s="112" t="str">
        <f aca="false">IF(G261&gt;7,"🔴 CRITICAL — Call Immediately",IF(G261&gt;0,"🟠 OVERDUE — Call Today",IF(G261=0,"🟡 DUE TODAY — Schedule Now",IF(G261&gt;-3,"🔵 Due This Week","🟢 Upcoming — On Track"))))</f>
        <v>🔵 Due This Week</v>
      </c>
    </row>
    <row r="262" customFormat="false" ht="15" hidden="false" customHeight="true" outlineLevel="0" collapsed="false">
      <c r="A262" s="70" t="s">
        <v>1562</v>
      </c>
      <c r="B262" s="72" t="s">
        <v>1563</v>
      </c>
      <c r="C262" s="72" t="s">
        <v>148</v>
      </c>
      <c r="D262" s="70" t="s">
        <v>120</v>
      </c>
      <c r="E262" s="71" t="n">
        <v>45625</v>
      </c>
      <c r="F262" s="71" t="n">
        <v>46202</v>
      </c>
      <c r="G262" s="88" t="n">
        <f aca="true">IFERROR(TODAY()-F262,0)</f>
        <v>-1</v>
      </c>
      <c r="H262" s="110" t="str">
        <f aca="false">IF(G262&gt;7,"🔴 CRITICAL — Call Immediately",IF(G262&gt;0,"🟠 OVERDUE — Call Today",IF(G262=0,"🟡 DUE TODAY — Schedule Now",IF(G262&gt;-3,"🔵 Due This Week","🟢 Upcoming — On Track"))))</f>
        <v>🔵 Due This Week</v>
      </c>
    </row>
    <row r="263" customFormat="false" ht="15" hidden="false" customHeight="true" outlineLevel="0" collapsed="false">
      <c r="A263" s="75" t="s">
        <v>144</v>
      </c>
      <c r="B263" s="77" t="s">
        <v>145</v>
      </c>
      <c r="C263" s="77" t="s">
        <v>148</v>
      </c>
      <c r="D263" s="75" t="s">
        <v>143</v>
      </c>
      <c r="E263" s="76" t="n">
        <v>45497</v>
      </c>
      <c r="F263" s="76" t="n">
        <v>46203</v>
      </c>
      <c r="G263" s="87" t="n">
        <f aca="true">IFERROR(TODAY()-F263,0)</f>
        <v>-2</v>
      </c>
      <c r="H263" s="112" t="str">
        <f aca="false">IF(G263&gt;7,"🔴 CRITICAL — Call Immediately",IF(G263&gt;0,"🟠 OVERDUE — Call Today",IF(G263=0,"🟡 DUE TODAY — Schedule Now",IF(G263&gt;-3,"🔵 Due This Week","🟢 Upcoming — On Track"))))</f>
        <v>🔵 Due This Week</v>
      </c>
    </row>
    <row r="264" customFormat="false" ht="15" hidden="false" customHeight="true" outlineLevel="0" collapsed="false">
      <c r="A264" s="70" t="s">
        <v>149</v>
      </c>
      <c r="B264" s="72" t="s">
        <v>150</v>
      </c>
      <c r="C264" s="72" t="s">
        <v>93</v>
      </c>
      <c r="D264" s="70" t="s">
        <v>143</v>
      </c>
      <c r="E264" s="71" t="n">
        <v>45692</v>
      </c>
      <c r="F264" s="71" t="n">
        <v>46203</v>
      </c>
      <c r="G264" s="88" t="n">
        <f aca="true">IFERROR(TODAY()-F264,0)</f>
        <v>-2</v>
      </c>
      <c r="H264" s="110" t="str">
        <f aca="false">IF(G264&gt;7,"🔴 CRITICAL — Call Immediately",IF(G264&gt;0,"🟠 OVERDUE — Call Today",IF(G264=0,"🟡 DUE TODAY — Schedule Now",IF(G264&gt;-3,"🔵 Due This Week","🟢 Upcoming — On Track"))))</f>
        <v>🔵 Due This Week</v>
      </c>
    </row>
    <row r="265" customFormat="false" ht="15" hidden="false" customHeight="true" outlineLevel="0" collapsed="false">
      <c r="A265" s="75" t="s">
        <v>218</v>
      </c>
      <c r="B265" s="77" t="s">
        <v>219</v>
      </c>
      <c r="C265" s="77" t="s">
        <v>124</v>
      </c>
      <c r="D265" s="75" t="s">
        <v>94</v>
      </c>
      <c r="E265" s="76" t="n">
        <v>45490</v>
      </c>
      <c r="F265" s="76" t="n">
        <v>46203</v>
      </c>
      <c r="G265" s="87" t="n">
        <f aca="true">IFERROR(TODAY()-F265,0)</f>
        <v>-2</v>
      </c>
      <c r="H265" s="112" t="str">
        <f aca="false">IF(G265&gt;7,"🔴 CRITICAL — Call Immediately",IF(G265&gt;0,"🟠 OVERDUE — Call Today",IF(G265=0,"🟡 DUE TODAY — Schedule Now",IF(G265&gt;-3,"🔵 Due This Week","🟢 Upcoming — On Track"))))</f>
        <v>🔵 Due This Week</v>
      </c>
    </row>
    <row r="266" customFormat="false" ht="15" hidden="false" customHeight="true" outlineLevel="0" collapsed="false">
      <c r="A266" s="70" t="s">
        <v>265</v>
      </c>
      <c r="B266" s="72" t="s">
        <v>266</v>
      </c>
      <c r="C266" s="72" t="s">
        <v>142</v>
      </c>
      <c r="D266" s="70" t="s">
        <v>143</v>
      </c>
      <c r="E266" s="71" t="n">
        <v>45512</v>
      </c>
      <c r="F266" s="71" t="n">
        <v>46203</v>
      </c>
      <c r="G266" s="88" t="n">
        <f aca="true">IFERROR(TODAY()-F266,0)</f>
        <v>-2</v>
      </c>
      <c r="H266" s="110" t="str">
        <f aca="false">IF(G266&gt;7,"🔴 CRITICAL — Call Immediately",IF(G266&gt;0,"🟠 OVERDUE — Call Today",IF(G266=0,"🟡 DUE TODAY — Schedule Now",IF(G266&gt;-3,"🔵 Due This Week","🟢 Upcoming — On Track"))))</f>
        <v>🔵 Due This Week</v>
      </c>
    </row>
    <row r="267" customFormat="false" ht="15" hidden="false" customHeight="true" outlineLevel="0" collapsed="false">
      <c r="A267" s="75" t="s">
        <v>437</v>
      </c>
      <c r="B267" s="77" t="s">
        <v>376</v>
      </c>
      <c r="C267" s="77" t="s">
        <v>103</v>
      </c>
      <c r="D267" s="75" t="s">
        <v>94</v>
      </c>
      <c r="E267" s="76" t="n">
        <v>45583</v>
      </c>
      <c r="F267" s="76" t="n">
        <v>46203</v>
      </c>
      <c r="G267" s="87" t="n">
        <f aca="true">IFERROR(TODAY()-F267,0)</f>
        <v>-2</v>
      </c>
      <c r="H267" s="112" t="str">
        <f aca="false">IF(G267&gt;7,"🔴 CRITICAL — Call Immediately",IF(G267&gt;0,"🟠 OVERDUE — Call Today",IF(G267=0,"🟡 DUE TODAY — Schedule Now",IF(G267&gt;-3,"🔵 Due This Week","🟢 Upcoming — On Track"))))</f>
        <v>🔵 Due This Week</v>
      </c>
    </row>
    <row r="268" customFormat="false" ht="15" hidden="false" customHeight="true" outlineLevel="0" collapsed="false">
      <c r="A268" s="70" t="s">
        <v>449</v>
      </c>
      <c r="B268" s="72" t="s">
        <v>450</v>
      </c>
      <c r="C268" s="72" t="s">
        <v>148</v>
      </c>
      <c r="D268" s="70" t="s">
        <v>104</v>
      </c>
      <c r="E268" s="71" t="n">
        <v>45441</v>
      </c>
      <c r="F268" s="71" t="n">
        <v>46203</v>
      </c>
      <c r="G268" s="88" t="n">
        <f aca="true">IFERROR(TODAY()-F268,0)</f>
        <v>-2</v>
      </c>
      <c r="H268" s="110" t="str">
        <f aca="false">IF(G268&gt;7,"🔴 CRITICAL — Call Immediately",IF(G268&gt;0,"🟠 OVERDUE — Call Today",IF(G268=0,"🟡 DUE TODAY — Schedule Now",IF(G268&gt;-3,"🔵 Due This Week","🟢 Upcoming — On Track"))))</f>
        <v>🔵 Due This Week</v>
      </c>
    </row>
    <row r="269" customFormat="false" ht="15" hidden="false" customHeight="true" outlineLevel="0" collapsed="false">
      <c r="A269" s="75" t="s">
        <v>602</v>
      </c>
      <c r="B269" s="77" t="s">
        <v>603</v>
      </c>
      <c r="C269" s="77" t="s">
        <v>209</v>
      </c>
      <c r="D269" s="75" t="s">
        <v>104</v>
      </c>
      <c r="E269" s="76" t="n">
        <v>45468</v>
      </c>
      <c r="F269" s="76" t="n">
        <v>46203</v>
      </c>
      <c r="G269" s="87" t="n">
        <f aca="true">IFERROR(TODAY()-F269,0)</f>
        <v>-2</v>
      </c>
      <c r="H269" s="112" t="str">
        <f aca="false">IF(G269&gt;7,"🔴 CRITICAL — Call Immediately",IF(G269&gt;0,"🟠 OVERDUE — Call Today",IF(G269=0,"🟡 DUE TODAY — Schedule Now",IF(G269&gt;-3,"🔵 Due This Week","🟢 Upcoming — On Track"))))</f>
        <v>🔵 Due This Week</v>
      </c>
    </row>
    <row r="270" customFormat="false" ht="15" hidden="false" customHeight="true" outlineLevel="0" collapsed="false">
      <c r="A270" s="70" t="s">
        <v>617</v>
      </c>
      <c r="B270" s="72" t="s">
        <v>618</v>
      </c>
      <c r="C270" s="72" t="s">
        <v>142</v>
      </c>
      <c r="D270" s="70" t="s">
        <v>161</v>
      </c>
      <c r="E270" s="71" t="n">
        <v>45464</v>
      </c>
      <c r="F270" s="71" t="n">
        <v>46203</v>
      </c>
      <c r="G270" s="88" t="n">
        <f aca="true">IFERROR(TODAY()-F270,0)</f>
        <v>-2</v>
      </c>
      <c r="H270" s="110" t="str">
        <f aca="false">IF(G270&gt;7,"🔴 CRITICAL — Call Immediately",IF(G270&gt;0,"🟠 OVERDUE — Call Today",IF(G270=0,"🟡 DUE TODAY — Schedule Now",IF(G270&gt;-3,"🔵 Due This Week","🟢 Upcoming — On Track"))))</f>
        <v>🔵 Due This Week</v>
      </c>
    </row>
    <row r="271" customFormat="false" ht="15" hidden="false" customHeight="true" outlineLevel="0" collapsed="false">
      <c r="A271" s="75" t="s">
        <v>726</v>
      </c>
      <c r="B271" s="77" t="s">
        <v>727</v>
      </c>
      <c r="C271" s="77" t="s">
        <v>103</v>
      </c>
      <c r="D271" s="75" t="s">
        <v>161</v>
      </c>
      <c r="E271" s="76" t="n">
        <v>45661</v>
      </c>
      <c r="F271" s="76" t="n">
        <v>46203</v>
      </c>
      <c r="G271" s="87" t="n">
        <f aca="true">IFERROR(TODAY()-F271,0)</f>
        <v>-2</v>
      </c>
      <c r="H271" s="112" t="str">
        <f aca="false">IF(G271&gt;7,"🔴 CRITICAL — Call Immediately",IF(G271&gt;0,"🟠 OVERDUE — Call Today",IF(G271=0,"🟡 DUE TODAY — Schedule Now",IF(G271&gt;-3,"🔵 Due This Week","🟢 Upcoming — On Track"))))</f>
        <v>🔵 Due This Week</v>
      </c>
    </row>
    <row r="272" customFormat="false" ht="15" hidden="false" customHeight="true" outlineLevel="0" collapsed="false">
      <c r="A272" s="70" t="s">
        <v>1028</v>
      </c>
      <c r="B272" s="72" t="s">
        <v>627</v>
      </c>
      <c r="C272" s="72" t="s">
        <v>103</v>
      </c>
      <c r="D272" s="70" t="s">
        <v>94</v>
      </c>
      <c r="E272" s="71" t="n">
        <v>45629</v>
      </c>
      <c r="F272" s="71" t="n">
        <v>46203</v>
      </c>
      <c r="G272" s="88" t="n">
        <f aca="true">IFERROR(TODAY()-F272,0)</f>
        <v>-2</v>
      </c>
      <c r="H272" s="110" t="str">
        <f aca="false">IF(G272&gt;7,"🔴 CRITICAL — Call Immediately",IF(G272&gt;0,"🟠 OVERDUE — Call Today",IF(G272=0,"🟡 DUE TODAY — Schedule Now",IF(G272&gt;-3,"🔵 Due This Week","🟢 Upcoming — On Track"))))</f>
        <v>🔵 Due This Week</v>
      </c>
    </row>
    <row r="273" customFormat="false" ht="15" hidden="false" customHeight="true" outlineLevel="0" collapsed="false">
      <c r="A273" s="75" t="s">
        <v>1111</v>
      </c>
      <c r="B273" s="77" t="s">
        <v>1112</v>
      </c>
      <c r="C273" s="77" t="s">
        <v>170</v>
      </c>
      <c r="D273" s="75" t="s">
        <v>120</v>
      </c>
      <c r="E273" s="76" t="n">
        <v>45724</v>
      </c>
      <c r="F273" s="76" t="n">
        <v>46203</v>
      </c>
      <c r="G273" s="87" t="n">
        <f aca="true">IFERROR(TODAY()-F273,0)</f>
        <v>-2</v>
      </c>
      <c r="H273" s="112" t="str">
        <f aca="false">IF(G273&gt;7,"🔴 CRITICAL — Call Immediately",IF(G273&gt;0,"🟠 OVERDUE — Call Today",IF(G273=0,"🟡 DUE TODAY — Schedule Now",IF(G273&gt;-3,"🔵 Due This Week","🟢 Upcoming — On Track"))))</f>
        <v>🔵 Due This Week</v>
      </c>
    </row>
    <row r="274" customFormat="false" ht="15" hidden="false" customHeight="true" outlineLevel="0" collapsed="false">
      <c r="A274" s="70" t="s">
        <v>1117</v>
      </c>
      <c r="B274" s="72" t="s">
        <v>508</v>
      </c>
      <c r="C274" s="72" t="s">
        <v>112</v>
      </c>
      <c r="D274" s="70" t="s">
        <v>94</v>
      </c>
      <c r="E274" s="71" t="n">
        <v>45452</v>
      </c>
      <c r="F274" s="71" t="n">
        <v>46203</v>
      </c>
      <c r="G274" s="88" t="n">
        <f aca="true">IFERROR(TODAY()-F274,0)</f>
        <v>-2</v>
      </c>
      <c r="H274" s="110" t="str">
        <f aca="false">IF(G274&gt;7,"🔴 CRITICAL — Call Immediately",IF(G274&gt;0,"🟠 OVERDUE — Call Today",IF(G274=0,"🟡 DUE TODAY — Schedule Now",IF(G274&gt;-3,"🔵 Due This Week","🟢 Upcoming — On Track"))))</f>
        <v>🔵 Due This Week</v>
      </c>
    </row>
    <row r="275" customFormat="false" ht="15" hidden="false" customHeight="true" outlineLevel="0" collapsed="false">
      <c r="A275" s="75" t="s">
        <v>1141</v>
      </c>
      <c r="B275" s="77" t="s">
        <v>1142</v>
      </c>
      <c r="C275" s="77" t="s">
        <v>209</v>
      </c>
      <c r="D275" s="75" t="s">
        <v>143</v>
      </c>
      <c r="E275" s="76" t="n">
        <v>45499</v>
      </c>
      <c r="F275" s="76" t="n">
        <v>46203</v>
      </c>
      <c r="G275" s="87" t="n">
        <f aca="true">IFERROR(TODAY()-F275,0)</f>
        <v>-2</v>
      </c>
      <c r="H275" s="112" t="str">
        <f aca="false">IF(G275&gt;7,"🔴 CRITICAL — Call Immediately",IF(G275&gt;0,"🟠 OVERDUE — Call Today",IF(G275=0,"🟡 DUE TODAY — Schedule Now",IF(G275&gt;-3,"🔵 Due This Week","🟢 Upcoming — On Track"))))</f>
        <v>🔵 Due This Week</v>
      </c>
    </row>
    <row r="276" customFormat="false" ht="15" hidden="false" customHeight="true" outlineLevel="0" collapsed="false">
      <c r="A276" s="70" t="s">
        <v>1186</v>
      </c>
      <c r="B276" s="72" t="s">
        <v>1187</v>
      </c>
      <c r="C276" s="72" t="s">
        <v>178</v>
      </c>
      <c r="D276" s="70" t="s">
        <v>94</v>
      </c>
      <c r="E276" s="71" t="n">
        <v>45699</v>
      </c>
      <c r="F276" s="71" t="n">
        <v>46203</v>
      </c>
      <c r="G276" s="88" t="n">
        <f aca="true">IFERROR(TODAY()-F276,0)</f>
        <v>-2</v>
      </c>
      <c r="H276" s="110" t="str">
        <f aca="false">IF(G276&gt;7,"🔴 CRITICAL — Call Immediately",IF(G276&gt;0,"🟠 OVERDUE — Call Today",IF(G276=0,"🟡 DUE TODAY — Schedule Now",IF(G276&gt;-3,"🔵 Due This Week","🟢 Upcoming — On Track"))))</f>
        <v>🔵 Due This Week</v>
      </c>
    </row>
    <row r="277" customFormat="false" ht="15" hidden="false" customHeight="true" outlineLevel="0" collapsed="false">
      <c r="A277" s="75" t="s">
        <v>1271</v>
      </c>
      <c r="B277" s="77" t="s">
        <v>738</v>
      </c>
      <c r="C277" s="77" t="s">
        <v>191</v>
      </c>
      <c r="D277" s="75" t="s">
        <v>161</v>
      </c>
      <c r="E277" s="76" t="n">
        <v>45660</v>
      </c>
      <c r="F277" s="76" t="n">
        <v>46203</v>
      </c>
      <c r="G277" s="87" t="n">
        <f aca="true">IFERROR(TODAY()-F277,0)</f>
        <v>-2</v>
      </c>
      <c r="H277" s="112" t="str">
        <f aca="false">IF(G277&gt;7,"🔴 CRITICAL — Call Immediately",IF(G277&gt;0,"🟠 OVERDUE — Call Today",IF(G277=0,"🟡 DUE TODAY — Schedule Now",IF(G277&gt;-3,"🔵 Due This Week","🟢 Upcoming — On Track"))))</f>
        <v>🔵 Due This Week</v>
      </c>
    </row>
    <row r="278" customFormat="false" ht="15" hidden="false" customHeight="true" outlineLevel="0" collapsed="false">
      <c r="A278" s="70" t="s">
        <v>1449</v>
      </c>
      <c r="B278" s="72" t="s">
        <v>1450</v>
      </c>
      <c r="C278" s="72" t="s">
        <v>148</v>
      </c>
      <c r="D278" s="70" t="s">
        <v>161</v>
      </c>
      <c r="E278" s="71" t="n">
        <v>45652</v>
      </c>
      <c r="F278" s="71" t="n">
        <v>46203</v>
      </c>
      <c r="G278" s="88" t="n">
        <f aca="true">IFERROR(TODAY()-F278,0)</f>
        <v>-2</v>
      </c>
      <c r="H278" s="110" t="str">
        <f aca="false">IF(G278&gt;7,"🔴 CRITICAL — Call Immediately",IF(G278&gt;0,"🟠 OVERDUE — Call Today",IF(G278=0,"🟡 DUE TODAY — Schedule Now",IF(G278&gt;-3,"🔵 Due This Week","🟢 Upcoming — On Track"))))</f>
        <v>🔵 Due This Week</v>
      </c>
    </row>
    <row r="279" customFormat="false" ht="15" hidden="false" customHeight="true" outlineLevel="0" collapsed="false">
      <c r="A279" s="75" t="s">
        <v>1512</v>
      </c>
      <c r="B279" s="77" t="s">
        <v>1002</v>
      </c>
      <c r="C279" s="77" t="s">
        <v>112</v>
      </c>
      <c r="D279" s="75" t="s">
        <v>120</v>
      </c>
      <c r="E279" s="76" t="n">
        <v>45544</v>
      </c>
      <c r="F279" s="76" t="n">
        <v>46203</v>
      </c>
      <c r="G279" s="87" t="n">
        <f aca="true">IFERROR(TODAY()-F279,0)</f>
        <v>-2</v>
      </c>
      <c r="H279" s="112" t="str">
        <f aca="false">IF(G279&gt;7,"🔴 CRITICAL — Call Immediately",IF(G279&gt;0,"🟠 OVERDUE — Call Today",IF(G279=0,"🟡 DUE TODAY — Schedule Now",IF(G279&gt;-3,"🔵 Due This Week","🟢 Upcoming — On Track"))))</f>
        <v>🔵 Due This Week</v>
      </c>
    </row>
    <row r="280" customFormat="false" ht="15" hidden="false" customHeight="true" outlineLevel="0" collapsed="false">
      <c r="A280" s="70" t="s">
        <v>171</v>
      </c>
      <c r="B280" s="72" t="s">
        <v>172</v>
      </c>
      <c r="C280" s="72" t="s">
        <v>142</v>
      </c>
      <c r="D280" s="70" t="s">
        <v>120</v>
      </c>
      <c r="E280" s="71" t="n">
        <v>45499</v>
      </c>
      <c r="F280" s="71" t="n">
        <v>46204</v>
      </c>
      <c r="G280" s="88" t="n">
        <f aca="true">IFERROR(TODAY()-F280,0)</f>
        <v>-3</v>
      </c>
      <c r="H280" s="110" t="str">
        <f aca="false">IF(G280&gt;7,"🔴 CRITICAL — Call Immediately",IF(G280&gt;0,"🟠 OVERDUE — Call Today",IF(G280=0,"🟡 DUE TODAY — Schedule Now",IF(G280&gt;-3,"🔵 Due This Week","🟢 Upcoming — On Track"))))</f>
        <v>🟢 Upcoming — On Track</v>
      </c>
    </row>
    <row r="281" customFormat="false" ht="15" hidden="false" customHeight="true" outlineLevel="0" collapsed="false">
      <c r="A281" s="75" t="s">
        <v>224</v>
      </c>
      <c r="B281" s="77" t="s">
        <v>225</v>
      </c>
      <c r="C281" s="77" t="s">
        <v>170</v>
      </c>
      <c r="D281" s="75" t="s">
        <v>161</v>
      </c>
      <c r="E281" s="76" t="n">
        <v>45577</v>
      </c>
      <c r="F281" s="76" t="n">
        <v>46204</v>
      </c>
      <c r="G281" s="87" t="n">
        <f aca="true">IFERROR(TODAY()-F281,0)</f>
        <v>-3</v>
      </c>
      <c r="H281" s="112" t="str">
        <f aca="false">IF(G281&gt;7,"🔴 CRITICAL — Call Immediately",IF(G281&gt;0,"🟠 OVERDUE — Call Today",IF(G281=0,"🟡 DUE TODAY — Schedule Now",IF(G281&gt;-3,"🔵 Due This Week","🟢 Upcoming — On Track"))))</f>
        <v>🟢 Upcoming — On Track</v>
      </c>
    </row>
    <row r="282" customFormat="false" ht="15" hidden="false" customHeight="true" outlineLevel="0" collapsed="false">
      <c r="A282" s="70" t="s">
        <v>262</v>
      </c>
      <c r="B282" s="72" t="s">
        <v>263</v>
      </c>
      <c r="C282" s="72" t="s">
        <v>93</v>
      </c>
      <c r="D282" s="70" t="s">
        <v>143</v>
      </c>
      <c r="E282" s="71" t="n">
        <v>45625</v>
      </c>
      <c r="F282" s="71" t="n">
        <v>46204</v>
      </c>
      <c r="G282" s="88" t="n">
        <f aca="true">IFERROR(TODAY()-F282,0)</f>
        <v>-3</v>
      </c>
      <c r="H282" s="110" t="str">
        <f aca="false">IF(G282&gt;7,"🔴 CRITICAL — Call Immediately",IF(G282&gt;0,"🟠 OVERDUE — Call Today",IF(G282=0,"🟡 DUE TODAY — Schedule Now",IF(G282&gt;-3,"🔵 Due This Week","🟢 Upcoming — On Track"))))</f>
        <v>🟢 Upcoming — On Track</v>
      </c>
    </row>
    <row r="283" customFormat="false" ht="15" hidden="false" customHeight="true" outlineLevel="0" collapsed="false">
      <c r="A283" s="75" t="s">
        <v>304</v>
      </c>
      <c r="B283" s="77" t="s">
        <v>305</v>
      </c>
      <c r="C283" s="77" t="s">
        <v>112</v>
      </c>
      <c r="D283" s="75" t="s">
        <v>104</v>
      </c>
      <c r="E283" s="76" t="n">
        <v>45691</v>
      </c>
      <c r="F283" s="76" t="n">
        <v>46204</v>
      </c>
      <c r="G283" s="87" t="n">
        <f aca="true">IFERROR(TODAY()-F283,0)</f>
        <v>-3</v>
      </c>
      <c r="H283" s="112" t="str">
        <f aca="false">IF(G283&gt;7,"🔴 CRITICAL — Call Immediately",IF(G283&gt;0,"🟠 OVERDUE — Call Today",IF(G283=0,"🟡 DUE TODAY — Schedule Now",IF(G283&gt;-3,"🔵 Due This Week","🟢 Upcoming — On Track"))))</f>
        <v>🟢 Upcoming — On Track</v>
      </c>
    </row>
    <row r="284" customFormat="false" ht="15" hidden="false" customHeight="true" outlineLevel="0" collapsed="false">
      <c r="A284" s="70" t="s">
        <v>340</v>
      </c>
      <c r="B284" s="72" t="s">
        <v>341</v>
      </c>
      <c r="C284" s="72" t="s">
        <v>112</v>
      </c>
      <c r="D284" s="70" t="s">
        <v>94</v>
      </c>
      <c r="E284" s="71" t="n">
        <v>45527</v>
      </c>
      <c r="F284" s="71" t="n">
        <v>46204</v>
      </c>
      <c r="G284" s="88" t="n">
        <f aca="true">IFERROR(TODAY()-F284,0)</f>
        <v>-3</v>
      </c>
      <c r="H284" s="110" t="str">
        <f aca="false">IF(G284&gt;7,"🔴 CRITICAL — Call Immediately",IF(G284&gt;0,"🟠 OVERDUE — Call Today",IF(G284=0,"🟡 DUE TODAY — Schedule Now",IF(G284&gt;-3,"🔵 Due This Week","🟢 Upcoming — On Track"))))</f>
        <v>🟢 Upcoming — On Track</v>
      </c>
    </row>
    <row r="285" customFormat="false" ht="15" hidden="false" customHeight="true" outlineLevel="0" collapsed="false">
      <c r="A285" s="75" t="s">
        <v>581</v>
      </c>
      <c r="B285" s="77" t="s">
        <v>582</v>
      </c>
      <c r="C285" s="77" t="s">
        <v>142</v>
      </c>
      <c r="D285" s="75" t="s">
        <v>94</v>
      </c>
      <c r="E285" s="76" t="n">
        <v>45561</v>
      </c>
      <c r="F285" s="76" t="n">
        <v>46204</v>
      </c>
      <c r="G285" s="87" t="n">
        <f aca="true">IFERROR(TODAY()-F285,0)</f>
        <v>-3</v>
      </c>
      <c r="H285" s="112" t="str">
        <f aca="false">IF(G285&gt;7,"🔴 CRITICAL — Call Immediately",IF(G285&gt;0,"🟠 OVERDUE — Call Today",IF(G285=0,"🟡 DUE TODAY — Schedule Now",IF(G285&gt;-3,"🔵 Due This Week","🟢 Upcoming — On Track"))))</f>
        <v>🟢 Upcoming — On Track</v>
      </c>
    </row>
    <row r="286" customFormat="false" ht="15" hidden="false" customHeight="true" outlineLevel="0" collapsed="false">
      <c r="A286" s="70" t="s">
        <v>670</v>
      </c>
      <c r="B286" s="72" t="s">
        <v>671</v>
      </c>
      <c r="C286" s="72" t="s">
        <v>209</v>
      </c>
      <c r="D286" s="70" t="s">
        <v>143</v>
      </c>
      <c r="E286" s="71" t="n">
        <v>45668</v>
      </c>
      <c r="F286" s="71" t="n">
        <v>46204</v>
      </c>
      <c r="G286" s="88" t="n">
        <f aca="true">IFERROR(TODAY()-F286,0)</f>
        <v>-3</v>
      </c>
      <c r="H286" s="110" t="str">
        <f aca="false">IF(G286&gt;7,"🔴 CRITICAL — Call Immediately",IF(G286&gt;0,"🟠 OVERDUE — Call Today",IF(G286=0,"🟡 DUE TODAY — Schedule Now",IF(G286&gt;-3,"🔵 Due This Week","🟢 Upcoming — On Track"))))</f>
        <v>🟢 Upcoming — On Track</v>
      </c>
    </row>
    <row r="287" customFormat="false" ht="15" hidden="false" customHeight="true" outlineLevel="0" collapsed="false">
      <c r="A287" s="75" t="s">
        <v>809</v>
      </c>
      <c r="B287" s="77" t="s">
        <v>810</v>
      </c>
      <c r="C287" s="77" t="s">
        <v>170</v>
      </c>
      <c r="D287" s="75" t="s">
        <v>161</v>
      </c>
      <c r="E287" s="76" t="n">
        <v>45660</v>
      </c>
      <c r="F287" s="76" t="n">
        <v>46204</v>
      </c>
      <c r="G287" s="87" t="n">
        <f aca="true">IFERROR(TODAY()-F287,0)</f>
        <v>-3</v>
      </c>
      <c r="H287" s="112" t="str">
        <f aca="false">IF(G287&gt;7,"🔴 CRITICAL — Call Immediately",IF(G287&gt;0,"🟠 OVERDUE — Call Today",IF(G287=0,"🟡 DUE TODAY — Schedule Now",IF(G287&gt;-3,"🔵 Due This Week","🟢 Upcoming — On Track"))))</f>
        <v>🟢 Upcoming — On Track</v>
      </c>
    </row>
    <row r="288" customFormat="false" ht="15" hidden="false" customHeight="true" outlineLevel="0" collapsed="false">
      <c r="A288" s="70" t="s">
        <v>1282</v>
      </c>
      <c r="B288" s="72" t="s">
        <v>1283</v>
      </c>
      <c r="C288" s="72" t="s">
        <v>170</v>
      </c>
      <c r="D288" s="70" t="s">
        <v>143</v>
      </c>
      <c r="E288" s="71" t="n">
        <v>45456</v>
      </c>
      <c r="F288" s="71" t="n">
        <v>46204</v>
      </c>
      <c r="G288" s="88" t="n">
        <f aca="true">IFERROR(TODAY()-F288,0)</f>
        <v>-3</v>
      </c>
      <c r="H288" s="110" t="str">
        <f aca="false">IF(G288&gt;7,"🔴 CRITICAL — Call Immediately",IF(G288&gt;0,"🟠 OVERDUE — Call Today",IF(G288=0,"🟡 DUE TODAY — Schedule Now",IF(G288&gt;-3,"🔵 Due This Week","🟢 Upcoming — On Track"))))</f>
        <v>🟢 Upcoming — On Track</v>
      </c>
    </row>
    <row r="289" customFormat="false" ht="15" hidden="false" customHeight="true" outlineLevel="0" collapsed="false">
      <c r="A289" s="75" t="s">
        <v>1351</v>
      </c>
      <c r="B289" s="77" t="s">
        <v>1352</v>
      </c>
      <c r="C289" s="77" t="s">
        <v>103</v>
      </c>
      <c r="D289" s="75" t="s">
        <v>104</v>
      </c>
      <c r="E289" s="76" t="n">
        <v>45537</v>
      </c>
      <c r="F289" s="76" t="n">
        <v>46204</v>
      </c>
      <c r="G289" s="87" t="n">
        <f aca="true">IFERROR(TODAY()-F289,0)</f>
        <v>-3</v>
      </c>
      <c r="H289" s="112" t="str">
        <f aca="false">IF(G289&gt;7,"🔴 CRITICAL — Call Immediately",IF(G289&gt;0,"🟠 OVERDUE — Call Today",IF(G289=0,"🟡 DUE TODAY — Schedule Now",IF(G289&gt;-3,"🔵 Due This Week","🟢 Upcoming — On Track"))))</f>
        <v>🟢 Upcoming — On Track</v>
      </c>
    </row>
    <row r="290" customFormat="false" ht="15" hidden="false" customHeight="true" outlineLevel="0" collapsed="false">
      <c r="A290" s="70" t="s">
        <v>1373</v>
      </c>
      <c r="B290" s="72" t="s">
        <v>1374</v>
      </c>
      <c r="C290" s="72" t="s">
        <v>148</v>
      </c>
      <c r="D290" s="70" t="s">
        <v>143</v>
      </c>
      <c r="E290" s="71" t="n">
        <v>45566</v>
      </c>
      <c r="F290" s="71" t="n">
        <v>46204</v>
      </c>
      <c r="G290" s="88" t="n">
        <f aca="true">IFERROR(TODAY()-F290,0)</f>
        <v>-3</v>
      </c>
      <c r="H290" s="110" t="str">
        <f aca="false">IF(G290&gt;7,"🔴 CRITICAL — Call Immediately",IF(G290&gt;0,"🟠 OVERDUE — Call Today",IF(G290=0,"🟡 DUE TODAY — Schedule Now",IF(G290&gt;-3,"🔵 Due This Week","🟢 Upcoming — On Track"))))</f>
        <v>🟢 Upcoming — On Track</v>
      </c>
    </row>
    <row r="291" customFormat="false" ht="15" hidden="false" customHeight="true" outlineLevel="0" collapsed="false">
      <c r="A291" s="75" t="s">
        <v>1421</v>
      </c>
      <c r="B291" s="77" t="s">
        <v>1422</v>
      </c>
      <c r="C291" s="77" t="s">
        <v>178</v>
      </c>
      <c r="D291" s="75" t="s">
        <v>120</v>
      </c>
      <c r="E291" s="76" t="n">
        <v>45657</v>
      </c>
      <c r="F291" s="76" t="n">
        <v>46204</v>
      </c>
      <c r="G291" s="87" t="n">
        <f aca="true">IFERROR(TODAY()-F291,0)</f>
        <v>-3</v>
      </c>
      <c r="H291" s="112" t="str">
        <f aca="false">IF(G291&gt;7,"🔴 CRITICAL — Call Immediately",IF(G291&gt;0,"🟠 OVERDUE — Call Today",IF(G291=0,"🟡 DUE TODAY — Schedule Now",IF(G291&gt;-3,"🔵 Due This Week","🟢 Upcoming — On Track"))))</f>
        <v>🟢 Upcoming — On Track</v>
      </c>
    </row>
    <row r="292" customFormat="false" ht="15" hidden="false" customHeight="true" outlineLevel="0" collapsed="false">
      <c r="A292" s="70" t="s">
        <v>86</v>
      </c>
      <c r="B292" s="72" t="s">
        <v>87</v>
      </c>
      <c r="C292" s="72" t="s">
        <v>93</v>
      </c>
      <c r="D292" s="70" t="s">
        <v>94</v>
      </c>
      <c r="E292" s="71" t="n">
        <v>45663</v>
      </c>
      <c r="F292" s="71" t="n">
        <v>46205</v>
      </c>
      <c r="G292" s="88" t="n">
        <f aca="true">IFERROR(TODAY()-F292,0)</f>
        <v>-4</v>
      </c>
      <c r="H292" s="110" t="str">
        <f aca="false">IF(G292&gt;7,"🔴 CRITICAL — Call Immediately",IF(G292&gt;0,"🟠 OVERDUE — Call Today",IF(G292=0,"🟡 DUE TODAY — Schedule Now",IF(G292&gt;-3,"🔵 Due This Week","🟢 Upcoming — On Track"))))</f>
        <v>🟢 Upcoming — On Track</v>
      </c>
    </row>
    <row r="293" customFormat="false" ht="15" hidden="false" customHeight="true" outlineLevel="0" collapsed="false">
      <c r="A293" s="75" t="s">
        <v>387</v>
      </c>
      <c r="B293" s="77" t="s">
        <v>388</v>
      </c>
      <c r="C293" s="77" t="s">
        <v>103</v>
      </c>
      <c r="D293" s="75" t="s">
        <v>104</v>
      </c>
      <c r="E293" s="76" t="n">
        <v>45612</v>
      </c>
      <c r="F293" s="76" t="n">
        <v>46205</v>
      </c>
      <c r="G293" s="87" t="n">
        <f aca="true">IFERROR(TODAY()-F293,0)</f>
        <v>-4</v>
      </c>
      <c r="H293" s="112" t="str">
        <f aca="false">IF(G293&gt;7,"🔴 CRITICAL — Call Immediately",IF(G293&gt;0,"🟠 OVERDUE — Call Today",IF(G293=0,"🟡 DUE TODAY — Schedule Now",IF(G293&gt;-3,"🔵 Due This Week","🟢 Upcoming — On Track"))))</f>
        <v>🟢 Upcoming — On Track</v>
      </c>
    </row>
    <row r="294" customFormat="false" ht="15" hidden="false" customHeight="true" outlineLevel="0" collapsed="false">
      <c r="A294" s="70" t="s">
        <v>390</v>
      </c>
      <c r="B294" s="72" t="s">
        <v>391</v>
      </c>
      <c r="C294" s="72" t="s">
        <v>142</v>
      </c>
      <c r="D294" s="70" t="s">
        <v>120</v>
      </c>
      <c r="E294" s="71" t="n">
        <v>45583</v>
      </c>
      <c r="F294" s="71" t="n">
        <v>46205</v>
      </c>
      <c r="G294" s="88" t="n">
        <f aca="true">IFERROR(TODAY()-F294,0)</f>
        <v>-4</v>
      </c>
      <c r="H294" s="110" t="str">
        <f aca="false">IF(G294&gt;7,"🔴 CRITICAL — Call Immediately",IF(G294&gt;0,"🟠 OVERDUE — Call Today",IF(G294=0,"🟡 DUE TODAY — Schedule Now",IF(G294&gt;-3,"🔵 Due This Week","🟢 Upcoming — On Track"))))</f>
        <v>🟢 Upcoming — On Track</v>
      </c>
    </row>
    <row r="295" customFormat="false" ht="15" hidden="false" customHeight="true" outlineLevel="0" collapsed="false">
      <c r="A295" s="75" t="s">
        <v>587</v>
      </c>
      <c r="B295" s="77" t="s">
        <v>588</v>
      </c>
      <c r="C295" s="77" t="s">
        <v>148</v>
      </c>
      <c r="D295" s="75" t="s">
        <v>161</v>
      </c>
      <c r="E295" s="76" t="n">
        <v>45642</v>
      </c>
      <c r="F295" s="76" t="n">
        <v>46205</v>
      </c>
      <c r="G295" s="87" t="n">
        <f aca="true">IFERROR(TODAY()-F295,0)</f>
        <v>-4</v>
      </c>
      <c r="H295" s="112" t="str">
        <f aca="false">IF(G295&gt;7,"🔴 CRITICAL — Call Immediately",IF(G295&gt;0,"🟠 OVERDUE — Call Today",IF(G295=0,"🟡 DUE TODAY — Schedule Now",IF(G295&gt;-3,"🔵 Due This Week","🟢 Upcoming — On Track"))))</f>
        <v>🟢 Upcoming — On Track</v>
      </c>
    </row>
    <row r="296" customFormat="false" ht="15" hidden="false" customHeight="true" outlineLevel="0" collapsed="false">
      <c r="A296" s="70" t="s">
        <v>775</v>
      </c>
      <c r="B296" s="72" t="s">
        <v>776</v>
      </c>
      <c r="C296" s="72" t="s">
        <v>191</v>
      </c>
      <c r="D296" s="70" t="s">
        <v>143</v>
      </c>
      <c r="E296" s="71" t="n">
        <v>45673</v>
      </c>
      <c r="F296" s="71" t="n">
        <v>46205</v>
      </c>
      <c r="G296" s="88" t="n">
        <f aca="true">IFERROR(TODAY()-F296,0)</f>
        <v>-4</v>
      </c>
      <c r="H296" s="110" t="str">
        <f aca="false">IF(G296&gt;7,"🔴 CRITICAL — Call Immediately",IF(G296&gt;0,"🟠 OVERDUE — Call Today",IF(G296=0,"🟡 DUE TODAY — Schedule Now",IF(G296&gt;-3,"🔵 Due This Week","🟢 Upcoming — On Track"))))</f>
        <v>🟢 Upcoming — On Track</v>
      </c>
    </row>
    <row r="297" customFormat="false" ht="15" hidden="false" customHeight="true" outlineLevel="0" collapsed="false">
      <c r="A297" s="75" t="s">
        <v>932</v>
      </c>
      <c r="B297" s="77" t="s">
        <v>933</v>
      </c>
      <c r="C297" s="77" t="s">
        <v>112</v>
      </c>
      <c r="D297" s="75" t="s">
        <v>120</v>
      </c>
      <c r="E297" s="76" t="n">
        <v>45629</v>
      </c>
      <c r="F297" s="76" t="n">
        <v>46205</v>
      </c>
      <c r="G297" s="87" t="n">
        <f aca="true">IFERROR(TODAY()-F297,0)</f>
        <v>-4</v>
      </c>
      <c r="H297" s="112" t="str">
        <f aca="false">IF(G297&gt;7,"🔴 CRITICAL — Call Immediately",IF(G297&gt;0,"🟠 OVERDUE — Call Today",IF(G297=0,"🟡 DUE TODAY — Schedule Now",IF(G297&gt;-3,"🔵 Due This Week","🟢 Upcoming — On Track"))))</f>
        <v>🟢 Upcoming — On Track</v>
      </c>
    </row>
    <row r="298" customFormat="false" ht="15" hidden="false" customHeight="true" outlineLevel="0" collapsed="false">
      <c r="A298" s="70" t="s">
        <v>1133</v>
      </c>
      <c r="B298" s="72" t="s">
        <v>1134</v>
      </c>
      <c r="C298" s="72" t="s">
        <v>112</v>
      </c>
      <c r="D298" s="70" t="s">
        <v>161</v>
      </c>
      <c r="E298" s="71" t="n">
        <v>45451</v>
      </c>
      <c r="F298" s="71" t="n">
        <v>46205</v>
      </c>
      <c r="G298" s="88" t="n">
        <f aca="true">IFERROR(TODAY()-F298,0)</f>
        <v>-4</v>
      </c>
      <c r="H298" s="110" t="str">
        <f aca="false">IF(G298&gt;7,"🔴 CRITICAL — Call Immediately",IF(G298&gt;0,"🟠 OVERDUE — Call Today",IF(G298=0,"🟡 DUE TODAY — Schedule Now",IF(G298&gt;-3,"🔵 Due This Week","🟢 Upcoming — On Track"))))</f>
        <v>🟢 Upcoming — On Track</v>
      </c>
    </row>
    <row r="299" customFormat="false" ht="15" hidden="false" customHeight="true" outlineLevel="0" collapsed="false">
      <c r="A299" s="75" t="s">
        <v>1288</v>
      </c>
      <c r="B299" s="77" t="s">
        <v>1289</v>
      </c>
      <c r="C299" s="77" t="s">
        <v>93</v>
      </c>
      <c r="D299" s="75" t="s">
        <v>143</v>
      </c>
      <c r="E299" s="76" t="n">
        <v>45695</v>
      </c>
      <c r="F299" s="76" t="n">
        <v>46205</v>
      </c>
      <c r="G299" s="87" t="n">
        <f aca="true">IFERROR(TODAY()-F299,0)</f>
        <v>-4</v>
      </c>
      <c r="H299" s="112" t="str">
        <f aca="false">IF(G299&gt;7,"🔴 CRITICAL — Call Immediately",IF(G299&gt;0,"🟠 OVERDUE — Call Today",IF(G299=0,"🟡 DUE TODAY — Schedule Now",IF(G299&gt;-3,"🔵 Due This Week","🟢 Upcoming — On Track"))))</f>
        <v>🟢 Upcoming — On Track</v>
      </c>
    </row>
    <row r="300" customFormat="false" ht="15" hidden="false" customHeight="true" outlineLevel="0" collapsed="false">
      <c r="A300" s="70" t="s">
        <v>1348</v>
      </c>
      <c r="B300" s="72" t="s">
        <v>1349</v>
      </c>
      <c r="C300" s="72" t="s">
        <v>103</v>
      </c>
      <c r="D300" s="70" t="s">
        <v>104</v>
      </c>
      <c r="E300" s="71" t="n">
        <v>45635</v>
      </c>
      <c r="F300" s="71" t="n">
        <v>46205</v>
      </c>
      <c r="G300" s="88" t="n">
        <f aca="true">IFERROR(TODAY()-F300,0)</f>
        <v>-4</v>
      </c>
      <c r="H300" s="110" t="str">
        <f aca="false">IF(G300&gt;7,"🔴 CRITICAL — Call Immediately",IF(G300&gt;0,"🟠 OVERDUE — Call Today",IF(G300=0,"🟡 DUE TODAY — Schedule Now",IF(G300&gt;-3,"🔵 Due This Week","🟢 Upcoming — On Track"))))</f>
        <v>🟢 Upcoming — On Track</v>
      </c>
    </row>
    <row r="301" customFormat="false" ht="15" hidden="false" customHeight="true" outlineLevel="0" collapsed="false">
      <c r="A301" s="75" t="s">
        <v>1412</v>
      </c>
      <c r="B301" s="77" t="s">
        <v>1413</v>
      </c>
      <c r="C301" s="77" t="s">
        <v>170</v>
      </c>
      <c r="D301" s="75" t="s">
        <v>94</v>
      </c>
      <c r="E301" s="76" t="n">
        <v>45396</v>
      </c>
      <c r="F301" s="76" t="n">
        <v>46205</v>
      </c>
      <c r="G301" s="87" t="n">
        <f aca="true">IFERROR(TODAY()-F301,0)</f>
        <v>-4</v>
      </c>
      <c r="H301" s="112" t="str">
        <f aca="false">IF(G301&gt;7,"🔴 CRITICAL — Call Immediately",IF(G301&gt;0,"🟠 OVERDUE — Call Today",IF(G301=0,"🟡 DUE TODAY — Schedule Now",IF(G301&gt;-3,"🔵 Due This Week","🟢 Upcoming — On Track"))))</f>
        <v>🟢 Upcoming — On Track</v>
      </c>
    </row>
    <row r="302" customFormat="false" ht="15" hidden="false" customHeight="true" outlineLevel="0" collapsed="false">
      <c r="A302" s="70" t="s">
        <v>1483</v>
      </c>
      <c r="B302" s="72" t="s">
        <v>1484</v>
      </c>
      <c r="C302" s="72" t="s">
        <v>148</v>
      </c>
      <c r="D302" s="70" t="s">
        <v>143</v>
      </c>
      <c r="E302" s="71" t="n">
        <v>45454</v>
      </c>
      <c r="F302" s="71" t="n">
        <v>46205</v>
      </c>
      <c r="G302" s="88" t="n">
        <f aca="true">IFERROR(TODAY()-F302,0)</f>
        <v>-4</v>
      </c>
      <c r="H302" s="110" t="str">
        <f aca="false">IF(G302&gt;7,"🔴 CRITICAL — Call Immediately",IF(G302&gt;0,"🟠 OVERDUE — Call Today",IF(G302=0,"🟡 DUE TODAY — Schedule Now",IF(G302&gt;-3,"🔵 Due This Week","🟢 Upcoming — On Track"))))</f>
        <v>🟢 Upcoming — On Track</v>
      </c>
    </row>
    <row r="303" customFormat="false" ht="15" hidden="false" customHeight="true" outlineLevel="0" collapsed="false">
      <c r="A303" s="75" t="s">
        <v>1568</v>
      </c>
      <c r="B303" s="77" t="s">
        <v>1569</v>
      </c>
      <c r="C303" s="77" t="s">
        <v>178</v>
      </c>
      <c r="D303" s="75" t="s">
        <v>94</v>
      </c>
      <c r="E303" s="76" t="n">
        <v>45681</v>
      </c>
      <c r="F303" s="76" t="n">
        <v>46205</v>
      </c>
      <c r="G303" s="87" t="n">
        <f aca="true">IFERROR(TODAY()-F303,0)</f>
        <v>-4</v>
      </c>
      <c r="H303" s="112" t="str">
        <f aca="false">IF(G303&gt;7,"🔴 CRITICAL — Call Immediately",IF(G303&gt;0,"🟠 OVERDUE — Call Today",IF(G303=0,"🟡 DUE TODAY — Schedule Now",IF(G303&gt;-3,"🔵 Due This Week","🟢 Upcoming — On Track"))))</f>
        <v>🟢 Upcoming — On Track</v>
      </c>
    </row>
    <row r="304" customFormat="false" ht="15" hidden="false" customHeight="true" outlineLevel="0" collapsed="false">
      <c r="A304" s="70" t="s">
        <v>126</v>
      </c>
      <c r="B304" s="72" t="s">
        <v>127</v>
      </c>
      <c r="C304" s="72" t="s">
        <v>112</v>
      </c>
      <c r="D304" s="70" t="s">
        <v>94</v>
      </c>
      <c r="E304" s="71" t="n">
        <v>45715</v>
      </c>
      <c r="F304" s="71" t="n">
        <v>46206</v>
      </c>
      <c r="G304" s="88" t="n">
        <f aca="true">IFERROR(TODAY()-F304,0)</f>
        <v>-5</v>
      </c>
      <c r="H304" s="110" t="str">
        <f aca="false">IF(G304&gt;7,"🔴 CRITICAL — Call Immediately",IF(G304&gt;0,"🟠 OVERDUE — Call Today",IF(G304=0,"🟡 DUE TODAY — Schedule Now",IF(G304&gt;-3,"🔵 Due This Week","🟢 Upcoming — On Track"))))</f>
        <v>🟢 Upcoming — On Track</v>
      </c>
    </row>
    <row r="305" customFormat="false" ht="15" hidden="false" customHeight="true" outlineLevel="0" collapsed="false">
      <c r="A305" s="75" t="s">
        <v>298</v>
      </c>
      <c r="B305" s="77" t="s">
        <v>299</v>
      </c>
      <c r="C305" s="77" t="s">
        <v>170</v>
      </c>
      <c r="D305" s="75" t="s">
        <v>143</v>
      </c>
      <c r="E305" s="76" t="n">
        <v>45653</v>
      </c>
      <c r="F305" s="76" t="n">
        <v>46206</v>
      </c>
      <c r="G305" s="87" t="n">
        <f aca="true">IFERROR(TODAY()-F305,0)</f>
        <v>-5</v>
      </c>
      <c r="H305" s="112" t="str">
        <f aca="false">IF(G305&gt;7,"🔴 CRITICAL — Call Immediately",IF(G305&gt;0,"🟠 OVERDUE — Call Today",IF(G305=0,"🟡 DUE TODAY — Schedule Now",IF(G305&gt;-3,"🔵 Due This Week","🟢 Upcoming — On Track"))))</f>
        <v>🟢 Upcoming — On Track</v>
      </c>
    </row>
    <row r="306" customFormat="false" ht="15" hidden="false" customHeight="true" outlineLevel="0" collapsed="false">
      <c r="A306" s="70" t="s">
        <v>452</v>
      </c>
      <c r="B306" s="72" t="s">
        <v>453</v>
      </c>
      <c r="C306" s="72" t="s">
        <v>112</v>
      </c>
      <c r="D306" s="70" t="s">
        <v>161</v>
      </c>
      <c r="E306" s="71" t="n">
        <v>45607</v>
      </c>
      <c r="F306" s="71" t="n">
        <v>46206</v>
      </c>
      <c r="G306" s="88" t="n">
        <f aca="true">IFERROR(TODAY()-F306,0)</f>
        <v>-5</v>
      </c>
      <c r="H306" s="110" t="str">
        <f aca="false">IF(G306&gt;7,"🔴 CRITICAL — Call Immediately",IF(G306&gt;0,"🟠 OVERDUE — Call Today",IF(G306=0,"🟡 DUE TODAY — Schedule Now",IF(G306&gt;-3,"🔵 Due This Week","🟢 Upcoming — On Track"))))</f>
        <v>🟢 Upcoming — On Track</v>
      </c>
    </row>
    <row r="307" customFormat="false" ht="15" hidden="false" customHeight="true" outlineLevel="0" collapsed="false">
      <c r="A307" s="75" t="s">
        <v>507</v>
      </c>
      <c r="B307" s="77" t="s">
        <v>508</v>
      </c>
      <c r="C307" s="77" t="s">
        <v>103</v>
      </c>
      <c r="D307" s="75" t="s">
        <v>120</v>
      </c>
      <c r="E307" s="76" t="n">
        <v>45604</v>
      </c>
      <c r="F307" s="76" t="n">
        <v>46206</v>
      </c>
      <c r="G307" s="87" t="n">
        <f aca="true">IFERROR(TODAY()-F307,0)</f>
        <v>-5</v>
      </c>
      <c r="H307" s="112" t="str">
        <f aca="false">IF(G307&gt;7,"🔴 CRITICAL — Call Immediately",IF(G307&gt;0,"🟠 OVERDUE — Call Today",IF(G307=0,"🟡 DUE TODAY — Schedule Now",IF(G307&gt;-3,"🔵 Due This Week","🟢 Upcoming — On Track"))))</f>
        <v>🟢 Upcoming — On Track</v>
      </c>
    </row>
    <row r="308" customFormat="false" ht="15" hidden="false" customHeight="true" outlineLevel="0" collapsed="false">
      <c r="A308" s="70" t="s">
        <v>533</v>
      </c>
      <c r="B308" s="72" t="s">
        <v>534</v>
      </c>
      <c r="C308" s="72" t="s">
        <v>148</v>
      </c>
      <c r="D308" s="70" t="s">
        <v>143</v>
      </c>
      <c r="E308" s="71" t="n">
        <v>45443</v>
      </c>
      <c r="F308" s="71" t="n">
        <v>46206</v>
      </c>
      <c r="G308" s="88" t="n">
        <f aca="true">IFERROR(TODAY()-F308,0)</f>
        <v>-5</v>
      </c>
      <c r="H308" s="110" t="str">
        <f aca="false">IF(G308&gt;7,"🔴 CRITICAL — Call Immediately",IF(G308&gt;0,"🟠 OVERDUE — Call Today",IF(G308=0,"🟡 DUE TODAY — Schedule Now",IF(G308&gt;-3,"🔵 Due This Week","🟢 Upcoming — On Track"))))</f>
        <v>🟢 Upcoming — On Track</v>
      </c>
    </row>
    <row r="309" customFormat="false" ht="15" hidden="false" customHeight="true" outlineLevel="0" collapsed="false">
      <c r="A309" s="75" t="s">
        <v>564</v>
      </c>
      <c r="B309" s="77" t="s">
        <v>492</v>
      </c>
      <c r="C309" s="77" t="s">
        <v>209</v>
      </c>
      <c r="D309" s="75" t="s">
        <v>143</v>
      </c>
      <c r="E309" s="76" t="n">
        <v>45674</v>
      </c>
      <c r="F309" s="76" t="n">
        <v>46206</v>
      </c>
      <c r="G309" s="87" t="n">
        <f aca="true">IFERROR(TODAY()-F309,0)</f>
        <v>-5</v>
      </c>
      <c r="H309" s="112" t="str">
        <f aca="false">IF(G309&gt;7,"🔴 CRITICAL — Call Immediately",IF(G309&gt;0,"🟠 OVERDUE — Call Today",IF(G309=0,"🟡 DUE TODAY — Schedule Now",IF(G309&gt;-3,"🔵 Due This Week","🟢 Upcoming — On Track"))))</f>
        <v>🟢 Upcoming — On Track</v>
      </c>
    </row>
    <row r="310" customFormat="false" ht="15" hidden="false" customHeight="true" outlineLevel="0" collapsed="false">
      <c r="A310" s="70" t="s">
        <v>611</v>
      </c>
      <c r="B310" s="72" t="s">
        <v>612</v>
      </c>
      <c r="C310" s="72" t="s">
        <v>191</v>
      </c>
      <c r="D310" s="70" t="s">
        <v>161</v>
      </c>
      <c r="E310" s="71" t="n">
        <v>45667</v>
      </c>
      <c r="F310" s="71" t="n">
        <v>46206</v>
      </c>
      <c r="G310" s="88" t="n">
        <f aca="true">IFERROR(TODAY()-F310,0)</f>
        <v>-5</v>
      </c>
      <c r="H310" s="110" t="str">
        <f aca="false">IF(G310&gt;7,"🔴 CRITICAL — Call Immediately",IF(G310&gt;0,"🟠 OVERDUE — Call Today",IF(G310=0,"🟡 DUE TODAY — Schedule Now",IF(G310&gt;-3,"🔵 Due This Week","🟢 Upcoming — On Track"))))</f>
        <v>🟢 Upcoming — On Track</v>
      </c>
    </row>
    <row r="311" customFormat="false" ht="15" hidden="false" customHeight="true" outlineLevel="0" collapsed="false">
      <c r="A311" s="75" t="s">
        <v>623</v>
      </c>
      <c r="B311" s="77" t="s">
        <v>624</v>
      </c>
      <c r="C311" s="77" t="s">
        <v>148</v>
      </c>
      <c r="D311" s="75" t="s">
        <v>104</v>
      </c>
      <c r="E311" s="76" t="n">
        <v>45706</v>
      </c>
      <c r="F311" s="76" t="n">
        <v>46206</v>
      </c>
      <c r="G311" s="87" t="n">
        <f aca="true">IFERROR(TODAY()-F311,0)</f>
        <v>-5</v>
      </c>
      <c r="H311" s="112" t="str">
        <f aca="false">IF(G311&gt;7,"🔴 CRITICAL — Call Immediately",IF(G311&gt;0,"🟠 OVERDUE — Call Today",IF(G311=0,"🟡 DUE TODAY — Schedule Now",IF(G311&gt;-3,"🔵 Due This Week","🟢 Upcoming — On Track"))))</f>
        <v>🟢 Upcoming — On Track</v>
      </c>
    </row>
    <row r="312" customFormat="false" ht="15" hidden="false" customHeight="true" outlineLevel="0" collapsed="false">
      <c r="A312" s="70" t="s">
        <v>729</v>
      </c>
      <c r="B312" s="72" t="s">
        <v>730</v>
      </c>
      <c r="C312" s="72" t="s">
        <v>170</v>
      </c>
      <c r="D312" s="70" t="s">
        <v>120</v>
      </c>
      <c r="E312" s="71" t="n">
        <v>45645</v>
      </c>
      <c r="F312" s="71" t="n">
        <v>46206</v>
      </c>
      <c r="G312" s="88" t="n">
        <f aca="true">IFERROR(TODAY()-F312,0)</f>
        <v>-5</v>
      </c>
      <c r="H312" s="110" t="str">
        <f aca="false">IF(G312&gt;7,"🔴 CRITICAL — Call Immediately",IF(G312&gt;0,"🟠 OVERDUE — Call Today",IF(G312=0,"🟡 DUE TODAY — Schedule Now",IF(G312&gt;-3,"🔵 Due This Week","🟢 Upcoming — On Track"))))</f>
        <v>🟢 Upcoming — On Track</v>
      </c>
    </row>
    <row r="313" customFormat="false" ht="15" hidden="false" customHeight="true" outlineLevel="0" collapsed="false">
      <c r="A313" s="75" t="s">
        <v>995</v>
      </c>
      <c r="B313" s="77" t="s">
        <v>996</v>
      </c>
      <c r="C313" s="77" t="s">
        <v>124</v>
      </c>
      <c r="D313" s="75" t="s">
        <v>120</v>
      </c>
      <c r="E313" s="76" t="n">
        <v>45629</v>
      </c>
      <c r="F313" s="76" t="n">
        <v>46206</v>
      </c>
      <c r="G313" s="87" t="n">
        <f aca="true">IFERROR(TODAY()-F313,0)</f>
        <v>-5</v>
      </c>
      <c r="H313" s="112" t="str">
        <f aca="false">IF(G313&gt;7,"🔴 CRITICAL — Call Immediately",IF(G313&gt;0,"🟠 OVERDUE — Call Today",IF(G313=0,"🟡 DUE TODAY — Schedule Now",IF(G313&gt;-3,"🔵 Due This Week","🟢 Upcoming — On Track"))))</f>
        <v>🟢 Upcoming — On Track</v>
      </c>
    </row>
    <row r="314" customFormat="false" ht="15" hidden="false" customHeight="true" outlineLevel="0" collapsed="false">
      <c r="A314" s="70" t="s">
        <v>1013</v>
      </c>
      <c r="B314" s="72" t="s">
        <v>1014</v>
      </c>
      <c r="C314" s="72" t="s">
        <v>178</v>
      </c>
      <c r="D314" s="70" t="s">
        <v>161</v>
      </c>
      <c r="E314" s="71" t="n">
        <v>45452</v>
      </c>
      <c r="F314" s="71" t="n">
        <v>46206</v>
      </c>
      <c r="G314" s="88" t="n">
        <f aca="true">IFERROR(TODAY()-F314,0)</f>
        <v>-5</v>
      </c>
      <c r="H314" s="110" t="str">
        <f aca="false">IF(G314&gt;7,"🔴 CRITICAL — Call Immediately",IF(G314&gt;0,"🟠 OVERDUE — Call Today",IF(G314=0,"🟡 DUE TODAY — Schedule Now",IF(G314&gt;-3,"🔵 Due This Week","🟢 Upcoming — On Track"))))</f>
        <v>🟢 Upcoming — On Track</v>
      </c>
    </row>
    <row r="315" customFormat="false" ht="15" hidden="false" customHeight="true" outlineLevel="0" collapsed="false">
      <c r="A315" s="75" t="s">
        <v>1044</v>
      </c>
      <c r="B315" s="77" t="s">
        <v>1045</v>
      </c>
      <c r="C315" s="77" t="s">
        <v>191</v>
      </c>
      <c r="D315" s="75" t="s">
        <v>120</v>
      </c>
      <c r="E315" s="76" t="n">
        <v>45658</v>
      </c>
      <c r="F315" s="76" t="n">
        <v>46206</v>
      </c>
      <c r="G315" s="87" t="n">
        <f aca="true">IFERROR(TODAY()-F315,0)</f>
        <v>-5</v>
      </c>
      <c r="H315" s="112" t="str">
        <f aca="false">IF(G315&gt;7,"🔴 CRITICAL — Call Immediately",IF(G315&gt;0,"🟠 OVERDUE — Call Today",IF(G315=0,"🟡 DUE TODAY — Schedule Now",IF(G315&gt;-3,"🔵 Due This Week","🟢 Upcoming — On Track"))))</f>
        <v>🟢 Upcoming — On Track</v>
      </c>
    </row>
    <row r="316" customFormat="false" ht="15" hidden="false" customHeight="true" outlineLevel="0" collapsed="false">
      <c r="A316" s="70" t="s">
        <v>1212</v>
      </c>
      <c r="B316" s="72" t="s">
        <v>1213</v>
      </c>
      <c r="C316" s="72" t="s">
        <v>103</v>
      </c>
      <c r="D316" s="70" t="s">
        <v>104</v>
      </c>
      <c r="E316" s="71" t="n">
        <v>45562</v>
      </c>
      <c r="F316" s="71" t="n">
        <v>46206</v>
      </c>
      <c r="G316" s="88" t="n">
        <f aca="true">IFERROR(TODAY()-F316,0)</f>
        <v>-5</v>
      </c>
      <c r="H316" s="110" t="str">
        <f aca="false">IF(G316&gt;7,"🔴 CRITICAL — Call Immediately",IF(G316&gt;0,"🟠 OVERDUE — Call Today",IF(G316=0,"🟡 DUE TODAY — Schedule Now",IF(G316&gt;-3,"🔵 Due This Week","🟢 Upcoming — On Track"))))</f>
        <v>🟢 Upcoming — On Track</v>
      </c>
    </row>
    <row r="317" customFormat="false" ht="15" hidden="false" customHeight="true" outlineLevel="0" collapsed="false">
      <c r="A317" s="75" t="s">
        <v>1239</v>
      </c>
      <c r="B317" s="77" t="s">
        <v>1240</v>
      </c>
      <c r="C317" s="77" t="s">
        <v>93</v>
      </c>
      <c r="D317" s="75" t="s">
        <v>104</v>
      </c>
      <c r="E317" s="76" t="n">
        <v>45573</v>
      </c>
      <c r="F317" s="76" t="n">
        <v>46206</v>
      </c>
      <c r="G317" s="87" t="n">
        <f aca="true">IFERROR(TODAY()-F317,0)</f>
        <v>-5</v>
      </c>
      <c r="H317" s="112" t="str">
        <f aca="false">IF(G317&gt;7,"🔴 CRITICAL — Call Immediately",IF(G317&gt;0,"🟠 OVERDUE — Call Today",IF(G317=0,"🟡 DUE TODAY — Schedule Now",IF(G317&gt;-3,"🔵 Due This Week","🟢 Upcoming — On Track"))))</f>
        <v>🟢 Upcoming — On Track</v>
      </c>
    </row>
    <row r="318" customFormat="false" ht="15" hidden="false" customHeight="true" outlineLevel="0" collapsed="false">
      <c r="A318" s="70" t="s">
        <v>1438</v>
      </c>
      <c r="B318" s="72" t="s">
        <v>1439</v>
      </c>
      <c r="C318" s="72" t="s">
        <v>148</v>
      </c>
      <c r="D318" s="70" t="s">
        <v>161</v>
      </c>
      <c r="E318" s="71" t="n">
        <v>45698</v>
      </c>
      <c r="F318" s="71" t="n">
        <v>46206</v>
      </c>
      <c r="G318" s="88" t="n">
        <f aca="true">IFERROR(TODAY()-F318,0)</f>
        <v>-5</v>
      </c>
      <c r="H318" s="110" t="str">
        <f aca="false">IF(G318&gt;7,"🔴 CRITICAL — Call Immediately",IF(G318&gt;0,"🟠 OVERDUE — Call Today",IF(G318=0,"🟡 DUE TODAY — Schedule Now",IF(G318&gt;-3,"🔵 Due This Week","🟢 Upcoming — On Track"))))</f>
        <v>🟢 Upcoming — On Track</v>
      </c>
    </row>
    <row r="319" customFormat="false" ht="15" hidden="false" customHeight="true" outlineLevel="0" collapsed="false">
      <c r="A319" s="75" t="s">
        <v>1441</v>
      </c>
      <c r="B319" s="77" t="s">
        <v>1260</v>
      </c>
      <c r="C319" s="77" t="s">
        <v>142</v>
      </c>
      <c r="D319" s="75" t="s">
        <v>120</v>
      </c>
      <c r="E319" s="76" t="n">
        <v>45696</v>
      </c>
      <c r="F319" s="76" t="n">
        <v>46206</v>
      </c>
      <c r="G319" s="87" t="n">
        <f aca="true">IFERROR(TODAY()-F319,0)</f>
        <v>-5</v>
      </c>
      <c r="H319" s="112" t="str">
        <f aca="false">IF(G319&gt;7,"🔴 CRITICAL — Call Immediately",IF(G319&gt;0,"🟠 OVERDUE — Call Today",IF(G319=0,"🟡 DUE TODAY — Schedule Now",IF(G319&gt;-3,"🔵 Due This Week","🟢 Upcoming — On Track"))))</f>
        <v>🟢 Upcoming — On Track</v>
      </c>
    </row>
    <row r="320" customFormat="false" ht="15" hidden="false" customHeight="true" outlineLevel="0" collapsed="false">
      <c r="A320" s="70" t="s">
        <v>404</v>
      </c>
      <c r="B320" s="72" t="s">
        <v>405</v>
      </c>
      <c r="C320" s="72" t="s">
        <v>103</v>
      </c>
      <c r="D320" s="70" t="s">
        <v>120</v>
      </c>
      <c r="E320" s="71" t="n">
        <v>45574</v>
      </c>
      <c r="F320" s="71" t="n">
        <v>46207</v>
      </c>
      <c r="G320" s="88" t="n">
        <f aca="true">IFERROR(TODAY()-F320,0)</f>
        <v>-6</v>
      </c>
      <c r="H320" s="110" t="str">
        <f aca="false">IF(G320&gt;7,"🔴 CRITICAL — Call Immediately",IF(G320&gt;0,"🟠 OVERDUE — Call Today",IF(G320=0,"🟡 DUE TODAY — Schedule Now",IF(G320&gt;-3,"🔵 Due This Week","🟢 Upcoming — On Track"))))</f>
        <v>🟢 Upcoming — On Track</v>
      </c>
    </row>
    <row r="321" customFormat="false" ht="15" hidden="false" customHeight="true" outlineLevel="0" collapsed="false">
      <c r="A321" s="75" t="s">
        <v>407</v>
      </c>
      <c r="B321" s="77" t="s">
        <v>408</v>
      </c>
      <c r="C321" s="77" t="s">
        <v>103</v>
      </c>
      <c r="D321" s="75" t="s">
        <v>104</v>
      </c>
      <c r="E321" s="76" t="n">
        <v>45697</v>
      </c>
      <c r="F321" s="76" t="n">
        <v>46207</v>
      </c>
      <c r="G321" s="87" t="n">
        <f aca="true">IFERROR(TODAY()-F321,0)</f>
        <v>-6</v>
      </c>
      <c r="H321" s="112" t="str">
        <f aca="false">IF(G321&gt;7,"🔴 CRITICAL — Call Immediately",IF(G321&gt;0,"🟠 OVERDUE — Call Today",IF(G321=0,"🟡 DUE TODAY — Schedule Now",IF(G321&gt;-3,"🔵 Due This Week","🟢 Upcoming — On Track"))))</f>
        <v>🟢 Upcoming — On Track</v>
      </c>
    </row>
    <row r="322" customFormat="false" ht="15" hidden="false" customHeight="true" outlineLevel="0" collapsed="false">
      <c r="A322" s="70" t="s">
        <v>413</v>
      </c>
      <c r="B322" s="72" t="s">
        <v>414</v>
      </c>
      <c r="C322" s="72" t="s">
        <v>103</v>
      </c>
      <c r="D322" s="70" t="s">
        <v>143</v>
      </c>
      <c r="E322" s="71" t="n">
        <v>45466</v>
      </c>
      <c r="F322" s="71" t="n">
        <v>46207</v>
      </c>
      <c r="G322" s="88" t="n">
        <f aca="true">IFERROR(TODAY()-F322,0)</f>
        <v>-6</v>
      </c>
      <c r="H322" s="110" t="str">
        <f aca="false">IF(G322&gt;7,"🔴 CRITICAL — Call Immediately",IF(G322&gt;0,"🟠 OVERDUE — Call Today",IF(G322=0,"🟡 DUE TODAY — Schedule Now",IF(G322&gt;-3,"🔵 Due This Week","🟢 Upcoming — On Track"))))</f>
        <v>🟢 Upcoming — On Track</v>
      </c>
    </row>
    <row r="323" customFormat="false" ht="15" hidden="false" customHeight="true" outlineLevel="0" collapsed="false">
      <c r="A323" s="75" t="s">
        <v>769</v>
      </c>
      <c r="B323" s="77" t="s">
        <v>770</v>
      </c>
      <c r="C323" s="77" t="s">
        <v>112</v>
      </c>
      <c r="D323" s="75" t="s">
        <v>120</v>
      </c>
      <c r="E323" s="76" t="n">
        <v>45588</v>
      </c>
      <c r="F323" s="76" t="n">
        <v>46207</v>
      </c>
      <c r="G323" s="87" t="n">
        <f aca="true">IFERROR(TODAY()-F323,0)</f>
        <v>-6</v>
      </c>
      <c r="H323" s="112" t="str">
        <f aca="false">IF(G323&gt;7,"🔴 CRITICAL — Call Immediately",IF(G323&gt;0,"🟠 OVERDUE — Call Today",IF(G323=0,"🟡 DUE TODAY — Schedule Now",IF(G323&gt;-3,"🔵 Due This Week","🟢 Upcoming — On Track"))))</f>
        <v>🟢 Upcoming — On Track</v>
      </c>
    </row>
    <row r="324" customFormat="false" ht="15" hidden="false" customHeight="true" outlineLevel="0" collapsed="false">
      <c r="A324" s="70" t="s">
        <v>847</v>
      </c>
      <c r="B324" s="72" t="s">
        <v>529</v>
      </c>
      <c r="C324" s="72" t="s">
        <v>191</v>
      </c>
      <c r="D324" s="70" t="s">
        <v>94</v>
      </c>
      <c r="E324" s="71" t="n">
        <v>45506</v>
      </c>
      <c r="F324" s="71" t="n">
        <v>46207</v>
      </c>
      <c r="G324" s="88" t="n">
        <f aca="true">IFERROR(TODAY()-F324,0)</f>
        <v>-6</v>
      </c>
      <c r="H324" s="110" t="str">
        <f aca="false">IF(G324&gt;7,"🔴 CRITICAL — Call Immediately",IF(G324&gt;0,"🟠 OVERDUE — Call Today",IF(G324=0,"🟡 DUE TODAY — Schedule Now",IF(G324&gt;-3,"🔵 Due This Week","🟢 Upcoming — On Track"))))</f>
        <v>🟢 Upcoming — On Track</v>
      </c>
    </row>
    <row r="325" customFormat="false" ht="15" hidden="false" customHeight="true" outlineLevel="0" collapsed="false">
      <c r="A325" s="75" t="s">
        <v>927</v>
      </c>
      <c r="B325" s="77" t="s">
        <v>633</v>
      </c>
      <c r="C325" s="77" t="s">
        <v>124</v>
      </c>
      <c r="D325" s="75" t="s">
        <v>94</v>
      </c>
      <c r="E325" s="76" t="n">
        <v>45654</v>
      </c>
      <c r="F325" s="76" t="n">
        <v>46207</v>
      </c>
      <c r="G325" s="87" t="n">
        <f aca="true">IFERROR(TODAY()-F325,0)</f>
        <v>-6</v>
      </c>
      <c r="H325" s="112" t="str">
        <f aca="false">IF(G325&gt;7,"🔴 CRITICAL — Call Immediately",IF(G325&gt;0,"🟠 OVERDUE — Call Today",IF(G325=0,"🟡 DUE TODAY — Schedule Now",IF(G325&gt;-3,"🔵 Due This Week","🟢 Upcoming — On Track"))))</f>
        <v>🟢 Upcoming — On Track</v>
      </c>
    </row>
    <row r="326" customFormat="false" ht="15" hidden="false" customHeight="true" outlineLevel="0" collapsed="false">
      <c r="A326" s="70" t="s">
        <v>1177</v>
      </c>
      <c r="B326" s="72" t="s">
        <v>1178</v>
      </c>
      <c r="C326" s="72" t="s">
        <v>112</v>
      </c>
      <c r="D326" s="70" t="s">
        <v>161</v>
      </c>
      <c r="E326" s="71" t="n">
        <v>45440</v>
      </c>
      <c r="F326" s="71" t="n">
        <v>46207</v>
      </c>
      <c r="G326" s="88" t="n">
        <f aca="true">IFERROR(TODAY()-F326,0)</f>
        <v>-6</v>
      </c>
      <c r="H326" s="110" t="str">
        <f aca="false">IF(G326&gt;7,"🔴 CRITICAL — Call Immediately",IF(G326&gt;0,"🟠 OVERDUE — Call Today",IF(G326=0,"🟡 DUE TODAY — Schedule Now",IF(G326&gt;-3,"🔵 Due This Week","🟢 Upcoming — On Track"))))</f>
        <v>🟢 Upcoming — On Track</v>
      </c>
    </row>
    <row r="327" customFormat="false" ht="15" hidden="false" customHeight="true" outlineLevel="0" collapsed="false">
      <c r="A327" s="75" t="s">
        <v>1309</v>
      </c>
      <c r="B327" s="77" t="s">
        <v>1310</v>
      </c>
      <c r="C327" s="77" t="s">
        <v>103</v>
      </c>
      <c r="D327" s="75" t="s">
        <v>104</v>
      </c>
      <c r="E327" s="76" t="n">
        <v>45692</v>
      </c>
      <c r="F327" s="76" t="n">
        <v>46207</v>
      </c>
      <c r="G327" s="87" t="n">
        <f aca="true">IFERROR(TODAY()-F327,0)</f>
        <v>-6</v>
      </c>
      <c r="H327" s="112" t="str">
        <f aca="false">IF(G327&gt;7,"🔴 CRITICAL — Call Immediately",IF(G327&gt;0,"🟠 OVERDUE — Call Today",IF(G327=0,"🟡 DUE TODAY — Schedule Now",IF(G327&gt;-3,"🔵 Due This Week","🟢 Upcoming — On Track"))))</f>
        <v>🟢 Upcoming — On Track</v>
      </c>
    </row>
    <row r="328" customFormat="false" ht="15" hidden="false" customHeight="true" outlineLevel="0" collapsed="false">
      <c r="A328" s="70" t="s">
        <v>1359</v>
      </c>
      <c r="B328" s="72" t="s">
        <v>1360</v>
      </c>
      <c r="C328" s="72" t="s">
        <v>142</v>
      </c>
      <c r="D328" s="70" t="s">
        <v>104</v>
      </c>
      <c r="E328" s="71" t="n">
        <v>45404</v>
      </c>
      <c r="F328" s="71" t="n">
        <v>46207</v>
      </c>
      <c r="G328" s="88" t="n">
        <f aca="true">IFERROR(TODAY()-F328,0)</f>
        <v>-6</v>
      </c>
      <c r="H328" s="110" t="str">
        <f aca="false">IF(G328&gt;7,"🔴 CRITICAL — Call Immediately",IF(G328&gt;0,"🟠 OVERDUE — Call Today",IF(G328=0,"🟡 DUE TODAY — Schedule Now",IF(G328&gt;-3,"🔵 Due This Week","🟢 Upcoming — On Track"))))</f>
        <v>🟢 Upcoming — On Track</v>
      </c>
    </row>
    <row r="329" customFormat="false" ht="15" hidden="false" customHeight="true" outlineLevel="0" collapsed="false">
      <c r="A329" s="75" t="s">
        <v>1362</v>
      </c>
      <c r="B329" s="77" t="s">
        <v>804</v>
      </c>
      <c r="C329" s="77" t="s">
        <v>148</v>
      </c>
      <c r="D329" s="75" t="s">
        <v>94</v>
      </c>
      <c r="E329" s="76" t="n">
        <v>45391</v>
      </c>
      <c r="F329" s="76" t="n">
        <v>46207</v>
      </c>
      <c r="G329" s="87" t="n">
        <f aca="true">IFERROR(TODAY()-F329,0)</f>
        <v>-6</v>
      </c>
      <c r="H329" s="112" t="str">
        <f aca="false">IF(G329&gt;7,"🔴 CRITICAL — Call Immediately",IF(G329&gt;0,"🟠 OVERDUE — Call Today",IF(G329=0,"🟡 DUE TODAY — Schedule Now",IF(G329&gt;-3,"🔵 Due This Week","🟢 Upcoming — On Track"))))</f>
        <v>🟢 Upcoming — On Track</v>
      </c>
    </row>
    <row r="330" customFormat="false" ht="15" hidden="false" customHeight="true" outlineLevel="0" collapsed="false">
      <c r="A330" s="70" t="s">
        <v>1367</v>
      </c>
      <c r="B330" s="72" t="s">
        <v>1368</v>
      </c>
      <c r="C330" s="72" t="s">
        <v>124</v>
      </c>
      <c r="D330" s="70" t="s">
        <v>161</v>
      </c>
      <c r="E330" s="71" t="n">
        <v>45515</v>
      </c>
      <c r="F330" s="71" t="n">
        <v>46207</v>
      </c>
      <c r="G330" s="88" t="n">
        <f aca="true">IFERROR(TODAY()-F330,0)</f>
        <v>-6</v>
      </c>
      <c r="H330" s="110" t="str">
        <f aca="false">IF(G330&gt;7,"🔴 CRITICAL — Call Immediately",IF(G330&gt;0,"🟠 OVERDUE — Call Today",IF(G330=0,"🟡 DUE TODAY — Schedule Now",IF(G330&gt;-3,"🔵 Due This Week","🟢 Upcoming — On Track"))))</f>
        <v>🟢 Upcoming — On Track</v>
      </c>
    </row>
    <row r="331" customFormat="false" ht="15" hidden="false" customHeight="true" outlineLevel="0" collapsed="false">
      <c r="A331" s="75" t="s">
        <v>1465</v>
      </c>
      <c r="B331" s="77" t="s">
        <v>1466</v>
      </c>
      <c r="C331" s="77" t="s">
        <v>191</v>
      </c>
      <c r="D331" s="75" t="s">
        <v>104</v>
      </c>
      <c r="E331" s="76" t="n">
        <v>45614</v>
      </c>
      <c r="F331" s="76" t="n">
        <v>46207</v>
      </c>
      <c r="G331" s="87" t="n">
        <f aca="true">IFERROR(TODAY()-F331,0)</f>
        <v>-6</v>
      </c>
      <c r="H331" s="112" t="str">
        <f aca="false">IF(G331&gt;7,"🔴 CRITICAL — Call Immediately",IF(G331&gt;0,"🟠 OVERDUE — Call Today",IF(G331=0,"🟡 DUE TODAY — Schedule Now",IF(G331&gt;-3,"🔵 Due This Week","🟢 Upcoming — On Track"))))</f>
        <v>🟢 Upcoming — On Track</v>
      </c>
    </row>
    <row r="332" customFormat="false" ht="15" hidden="false" customHeight="true" outlineLevel="0" collapsed="false">
      <c r="A332" s="70" t="s">
        <v>1539</v>
      </c>
      <c r="B332" s="72" t="s">
        <v>1540</v>
      </c>
      <c r="C332" s="72" t="s">
        <v>191</v>
      </c>
      <c r="D332" s="70" t="s">
        <v>120</v>
      </c>
      <c r="E332" s="71" t="n">
        <v>45443</v>
      </c>
      <c r="F332" s="71" t="n">
        <v>46207</v>
      </c>
      <c r="G332" s="88" t="n">
        <f aca="true">IFERROR(TODAY()-F332,0)</f>
        <v>-6</v>
      </c>
      <c r="H332" s="110" t="str">
        <f aca="false">IF(G332&gt;7,"🔴 CRITICAL — Call Immediately",IF(G332&gt;0,"🟠 OVERDUE — Call Today",IF(G332=0,"🟡 DUE TODAY — Schedule Now",IF(G332&gt;-3,"🔵 Due This Week","🟢 Upcoming — On Track"))))</f>
        <v>🟢 Upcoming — On Track</v>
      </c>
    </row>
    <row r="333" customFormat="false" ht="15" hidden="false" customHeight="true" outlineLevel="0" collapsed="false">
      <c r="A333" s="75" t="s">
        <v>206</v>
      </c>
      <c r="B333" s="77" t="s">
        <v>207</v>
      </c>
      <c r="C333" s="77" t="s">
        <v>209</v>
      </c>
      <c r="D333" s="75" t="s">
        <v>104</v>
      </c>
      <c r="E333" s="76" t="n">
        <v>45587</v>
      </c>
      <c r="F333" s="76" t="n">
        <v>46208</v>
      </c>
      <c r="G333" s="87" t="n">
        <f aca="true">IFERROR(TODAY()-F333,0)</f>
        <v>-7</v>
      </c>
      <c r="H333" s="112" t="str">
        <f aca="false">IF(G333&gt;7,"🔴 CRITICAL — Call Immediately",IF(G333&gt;0,"🟠 OVERDUE — Call Today",IF(G333=0,"🟡 DUE TODAY — Schedule Now",IF(G333&gt;-3,"🔵 Due This Week","🟢 Upcoming — On Track"))))</f>
        <v>🟢 Upcoming — On Track</v>
      </c>
    </row>
    <row r="334" customFormat="false" ht="15" hidden="false" customHeight="true" outlineLevel="0" collapsed="false">
      <c r="A334" s="70" t="s">
        <v>215</v>
      </c>
      <c r="B334" s="72" t="s">
        <v>216</v>
      </c>
      <c r="C334" s="72" t="s">
        <v>178</v>
      </c>
      <c r="D334" s="70" t="s">
        <v>94</v>
      </c>
      <c r="E334" s="71" t="n">
        <v>45669</v>
      </c>
      <c r="F334" s="71" t="n">
        <v>46208</v>
      </c>
      <c r="G334" s="88" t="n">
        <f aca="true">IFERROR(TODAY()-F334,0)</f>
        <v>-7</v>
      </c>
      <c r="H334" s="110" t="str">
        <f aca="false">IF(G334&gt;7,"🔴 CRITICAL — Call Immediately",IF(G334&gt;0,"🟠 OVERDUE — Call Today",IF(G334=0,"🟡 DUE TODAY — Schedule Now",IF(G334&gt;-3,"🔵 Due This Week","🟢 Upcoming — On Track"))))</f>
        <v>🟢 Upcoming — On Track</v>
      </c>
    </row>
    <row r="335" customFormat="false" ht="15" hidden="false" customHeight="true" outlineLevel="0" collapsed="false">
      <c r="A335" s="75" t="s">
        <v>349</v>
      </c>
      <c r="B335" s="77" t="s">
        <v>350</v>
      </c>
      <c r="C335" s="77" t="s">
        <v>170</v>
      </c>
      <c r="D335" s="75" t="s">
        <v>104</v>
      </c>
      <c r="E335" s="76" t="n">
        <v>45639</v>
      </c>
      <c r="F335" s="76" t="n">
        <v>46208</v>
      </c>
      <c r="G335" s="87" t="n">
        <f aca="true">IFERROR(TODAY()-F335,0)</f>
        <v>-7</v>
      </c>
      <c r="H335" s="112" t="str">
        <f aca="false">IF(G335&gt;7,"🔴 CRITICAL — Call Immediately",IF(G335&gt;0,"🟠 OVERDUE — Call Today",IF(G335=0,"🟡 DUE TODAY — Schedule Now",IF(G335&gt;-3,"🔵 Due This Week","🟢 Upcoming — On Track"))))</f>
        <v>🟢 Upcoming — On Track</v>
      </c>
    </row>
    <row r="336" customFormat="false" ht="15" hidden="false" customHeight="true" outlineLevel="0" collapsed="false">
      <c r="A336" s="70" t="s">
        <v>461</v>
      </c>
      <c r="B336" s="72" t="s">
        <v>462</v>
      </c>
      <c r="C336" s="72" t="s">
        <v>178</v>
      </c>
      <c r="D336" s="70" t="s">
        <v>104</v>
      </c>
      <c r="E336" s="71" t="n">
        <v>45700</v>
      </c>
      <c r="F336" s="71" t="n">
        <v>46208</v>
      </c>
      <c r="G336" s="88" t="n">
        <f aca="true">IFERROR(TODAY()-F336,0)</f>
        <v>-7</v>
      </c>
      <c r="H336" s="110" t="str">
        <f aca="false">IF(G336&gt;7,"🔴 CRITICAL — Call Immediately",IF(G336&gt;0,"🟠 OVERDUE — Call Today",IF(G336=0,"🟡 DUE TODAY — Schedule Now",IF(G336&gt;-3,"🔵 Due This Week","🟢 Upcoming — On Track"))))</f>
        <v>🟢 Upcoming — On Track</v>
      </c>
    </row>
    <row r="337" customFormat="false" ht="15" hidden="false" customHeight="true" outlineLevel="0" collapsed="false">
      <c r="A337" s="75" t="s">
        <v>742</v>
      </c>
      <c r="B337" s="77" t="s">
        <v>743</v>
      </c>
      <c r="C337" s="77" t="s">
        <v>148</v>
      </c>
      <c r="D337" s="75" t="s">
        <v>161</v>
      </c>
      <c r="E337" s="76" t="n">
        <v>45407</v>
      </c>
      <c r="F337" s="76" t="n">
        <v>46208</v>
      </c>
      <c r="G337" s="87" t="n">
        <f aca="true">IFERROR(TODAY()-F337,0)</f>
        <v>-7</v>
      </c>
      <c r="H337" s="112" t="str">
        <f aca="false">IF(G337&gt;7,"🔴 CRITICAL — Call Immediately",IF(G337&gt;0,"🟠 OVERDUE — Call Today",IF(G337=0,"🟡 DUE TODAY — Schedule Now",IF(G337&gt;-3,"🔵 Due This Week","🟢 Upcoming — On Track"))))</f>
        <v>🟢 Upcoming — On Track</v>
      </c>
    </row>
    <row r="338" customFormat="false" ht="15" hidden="false" customHeight="true" outlineLevel="0" collapsed="false">
      <c r="A338" s="70" t="s">
        <v>780</v>
      </c>
      <c r="B338" s="72" t="s">
        <v>781</v>
      </c>
      <c r="C338" s="72" t="s">
        <v>191</v>
      </c>
      <c r="D338" s="70" t="s">
        <v>120</v>
      </c>
      <c r="E338" s="71" t="n">
        <v>45693</v>
      </c>
      <c r="F338" s="71" t="n">
        <v>46208</v>
      </c>
      <c r="G338" s="88" t="n">
        <f aca="true">IFERROR(TODAY()-F338,0)</f>
        <v>-7</v>
      </c>
      <c r="H338" s="110" t="str">
        <f aca="false">IF(G338&gt;7,"🔴 CRITICAL — Call Immediately",IF(G338&gt;0,"🟠 OVERDUE — Call Today",IF(G338=0,"🟡 DUE TODAY — Schedule Now",IF(G338&gt;-3,"🔵 Due This Week","🟢 Upcoming — On Track"))))</f>
        <v>🟢 Upcoming — On Track</v>
      </c>
    </row>
    <row r="339" customFormat="false" ht="15" hidden="false" customHeight="true" outlineLevel="0" collapsed="false">
      <c r="A339" s="75" t="s">
        <v>975</v>
      </c>
      <c r="B339" s="77" t="s">
        <v>976</v>
      </c>
      <c r="C339" s="77" t="s">
        <v>178</v>
      </c>
      <c r="D339" s="75" t="s">
        <v>104</v>
      </c>
      <c r="E339" s="76" t="n">
        <v>45433</v>
      </c>
      <c r="F339" s="76" t="n">
        <v>46208</v>
      </c>
      <c r="G339" s="87" t="n">
        <f aca="true">IFERROR(TODAY()-F339,0)</f>
        <v>-7</v>
      </c>
      <c r="H339" s="112" t="str">
        <f aca="false">IF(G339&gt;7,"🔴 CRITICAL — Call Immediately",IF(G339&gt;0,"🟠 OVERDUE — Call Today",IF(G339=0,"🟡 DUE TODAY — Schedule Now",IF(G339&gt;-3,"🔵 Due This Week","🟢 Upcoming — On Track"))))</f>
        <v>🟢 Upcoming — On Track</v>
      </c>
    </row>
    <row r="340" customFormat="false" ht="15" hidden="false" customHeight="true" outlineLevel="0" collapsed="false">
      <c r="A340" s="70" t="s">
        <v>1393</v>
      </c>
      <c r="B340" s="72" t="s">
        <v>1394</v>
      </c>
      <c r="C340" s="72" t="s">
        <v>103</v>
      </c>
      <c r="D340" s="70" t="s">
        <v>94</v>
      </c>
      <c r="E340" s="71" t="n">
        <v>45462</v>
      </c>
      <c r="F340" s="71" t="n">
        <v>46208</v>
      </c>
      <c r="G340" s="88" t="n">
        <f aca="true">IFERROR(TODAY()-F340,0)</f>
        <v>-7</v>
      </c>
      <c r="H340" s="110" t="str">
        <f aca="false">IF(G340&gt;7,"🔴 CRITICAL — Call Immediately",IF(G340&gt;0,"🟠 OVERDUE — Call Today",IF(G340=0,"🟡 DUE TODAY — Schedule Now",IF(G340&gt;-3,"🔵 Due This Week","🟢 Upcoming — On Track"))))</f>
        <v>🟢 Upcoming — On Track</v>
      </c>
    </row>
    <row r="341" customFormat="false" ht="15" hidden="false" customHeight="true" outlineLevel="0" collapsed="false">
      <c r="A341" s="75" t="s">
        <v>1430</v>
      </c>
      <c r="B341" s="77" t="s">
        <v>526</v>
      </c>
      <c r="C341" s="77" t="s">
        <v>124</v>
      </c>
      <c r="D341" s="75" t="s">
        <v>94</v>
      </c>
      <c r="E341" s="76" t="n">
        <v>45685</v>
      </c>
      <c r="F341" s="76" t="n">
        <v>46208</v>
      </c>
      <c r="G341" s="87" t="n">
        <f aca="true">IFERROR(TODAY()-F341,0)</f>
        <v>-7</v>
      </c>
      <c r="H341" s="112" t="str">
        <f aca="false">IF(G341&gt;7,"🔴 CRITICAL — Call Immediately",IF(G341&gt;0,"🟠 OVERDUE — Call Today",IF(G341=0,"🟡 DUE TODAY — Schedule Now",IF(G341&gt;-3,"🔵 Due This Week","🟢 Upcoming — On Track"))))</f>
        <v>🟢 Upcoming — On Track</v>
      </c>
    </row>
    <row r="342" customFormat="false" ht="15" hidden="false" customHeight="true" outlineLevel="0" collapsed="false">
      <c r="A342" s="70" t="s">
        <v>247</v>
      </c>
      <c r="B342" s="72" t="s">
        <v>248</v>
      </c>
      <c r="C342" s="72" t="s">
        <v>112</v>
      </c>
      <c r="D342" s="70" t="s">
        <v>94</v>
      </c>
      <c r="E342" s="71" t="n">
        <v>45554</v>
      </c>
      <c r="F342" s="71" t="n">
        <v>46209</v>
      </c>
      <c r="G342" s="88" t="n">
        <f aca="true">IFERROR(TODAY()-F342,0)</f>
        <v>-8</v>
      </c>
      <c r="H342" s="110" t="str">
        <f aca="false">IF(G342&gt;7,"🔴 CRITICAL — Call Immediately",IF(G342&gt;0,"🟠 OVERDUE — Call Today",IF(G342=0,"🟡 DUE TODAY — Schedule Now",IF(G342&gt;-3,"🔵 Due This Week","🟢 Upcoming — On Track"))))</f>
        <v>🟢 Upcoming — On Track</v>
      </c>
    </row>
    <row r="343" customFormat="false" ht="15" hidden="false" customHeight="true" outlineLevel="0" collapsed="false">
      <c r="A343" s="75" t="s">
        <v>470</v>
      </c>
      <c r="B343" s="77" t="s">
        <v>471</v>
      </c>
      <c r="C343" s="77" t="s">
        <v>191</v>
      </c>
      <c r="D343" s="75" t="s">
        <v>104</v>
      </c>
      <c r="E343" s="76" t="n">
        <v>45582</v>
      </c>
      <c r="F343" s="76" t="n">
        <v>46209</v>
      </c>
      <c r="G343" s="87" t="n">
        <f aca="true">IFERROR(TODAY()-F343,0)</f>
        <v>-8</v>
      </c>
      <c r="H343" s="112" t="str">
        <f aca="false">IF(G343&gt;7,"🔴 CRITICAL — Call Immediately",IF(G343&gt;0,"🟠 OVERDUE — Call Today",IF(G343=0,"🟡 DUE TODAY — Schedule Now",IF(G343&gt;-3,"🔵 Due This Week","🟢 Upcoming — On Track"))))</f>
        <v>🟢 Upcoming — On Track</v>
      </c>
    </row>
    <row r="344" customFormat="false" ht="15" hidden="false" customHeight="true" outlineLevel="0" collapsed="false">
      <c r="A344" s="70" t="s">
        <v>596</v>
      </c>
      <c r="B344" s="72" t="s">
        <v>597</v>
      </c>
      <c r="C344" s="72" t="s">
        <v>124</v>
      </c>
      <c r="D344" s="70" t="s">
        <v>104</v>
      </c>
      <c r="E344" s="71" t="n">
        <v>45459</v>
      </c>
      <c r="F344" s="71" t="n">
        <v>46209</v>
      </c>
      <c r="G344" s="88" t="n">
        <f aca="true">IFERROR(TODAY()-F344,0)</f>
        <v>-8</v>
      </c>
      <c r="H344" s="110" t="str">
        <f aca="false">IF(G344&gt;7,"🔴 CRITICAL — Call Immediately",IF(G344&gt;0,"🟠 OVERDUE — Call Today",IF(G344=0,"🟡 DUE TODAY — Schedule Now",IF(G344&gt;-3,"🔵 Due This Week","🟢 Upcoming — On Track"))))</f>
        <v>🟢 Upcoming — On Track</v>
      </c>
    </row>
    <row r="345" customFormat="false" ht="15" hidden="false" customHeight="true" outlineLevel="0" collapsed="false">
      <c r="A345" s="75" t="s">
        <v>849</v>
      </c>
      <c r="B345" s="77" t="s">
        <v>683</v>
      </c>
      <c r="C345" s="77" t="s">
        <v>103</v>
      </c>
      <c r="D345" s="75" t="s">
        <v>94</v>
      </c>
      <c r="E345" s="76" t="n">
        <v>45388</v>
      </c>
      <c r="F345" s="76" t="n">
        <v>46209</v>
      </c>
      <c r="G345" s="87" t="n">
        <f aca="true">IFERROR(TODAY()-F345,0)</f>
        <v>-8</v>
      </c>
      <c r="H345" s="112" t="str">
        <f aca="false">IF(G345&gt;7,"🔴 CRITICAL — Call Immediately",IF(G345&gt;0,"🟠 OVERDUE — Call Today",IF(G345=0,"🟡 DUE TODAY — Schedule Now",IF(G345&gt;-3,"🔵 Due This Week","🟢 Upcoming — On Track"))))</f>
        <v>🟢 Upcoming — On Track</v>
      </c>
    </row>
    <row r="346" customFormat="false" ht="15" hidden="false" customHeight="true" outlineLevel="0" collapsed="false">
      <c r="A346" s="70" t="s">
        <v>879</v>
      </c>
      <c r="B346" s="72" t="s">
        <v>880</v>
      </c>
      <c r="C346" s="72" t="s">
        <v>191</v>
      </c>
      <c r="D346" s="70" t="s">
        <v>104</v>
      </c>
      <c r="E346" s="71" t="n">
        <v>45418</v>
      </c>
      <c r="F346" s="71" t="n">
        <v>46209</v>
      </c>
      <c r="G346" s="88" t="n">
        <f aca="true">IFERROR(TODAY()-F346,0)</f>
        <v>-8</v>
      </c>
      <c r="H346" s="110" t="str">
        <f aca="false">IF(G346&gt;7,"🔴 CRITICAL — Call Immediately",IF(G346&gt;0,"🟠 OVERDUE — Call Today",IF(G346=0,"🟡 DUE TODAY — Schedule Now",IF(G346&gt;-3,"🔵 Due This Week","🟢 Upcoming — On Track"))))</f>
        <v>🟢 Upcoming — On Track</v>
      </c>
    </row>
    <row r="347" customFormat="false" ht="15" hidden="false" customHeight="true" outlineLevel="0" collapsed="false">
      <c r="A347" s="75" t="s">
        <v>1138</v>
      </c>
      <c r="B347" s="77" t="s">
        <v>1139</v>
      </c>
      <c r="C347" s="77" t="s">
        <v>103</v>
      </c>
      <c r="D347" s="75" t="s">
        <v>120</v>
      </c>
      <c r="E347" s="76" t="n">
        <v>45643</v>
      </c>
      <c r="F347" s="76" t="n">
        <v>46209</v>
      </c>
      <c r="G347" s="87" t="n">
        <f aca="true">IFERROR(TODAY()-F347,0)</f>
        <v>-8</v>
      </c>
      <c r="H347" s="112" t="str">
        <f aca="false">IF(G347&gt;7,"🔴 CRITICAL — Call Immediately",IF(G347&gt;0,"🟠 OVERDUE — Call Today",IF(G347=0,"🟡 DUE TODAY — Schedule Now",IF(G347&gt;-3,"🔵 Due This Week","🟢 Upcoming — On Track"))))</f>
        <v>🟢 Upcoming — On Track</v>
      </c>
    </row>
    <row r="348" customFormat="false" ht="15" hidden="false" customHeight="true" outlineLevel="0" collapsed="false">
      <c r="A348" s="70" t="s">
        <v>1171</v>
      </c>
      <c r="B348" s="72" t="s">
        <v>1172</v>
      </c>
      <c r="C348" s="72" t="s">
        <v>142</v>
      </c>
      <c r="D348" s="70" t="s">
        <v>104</v>
      </c>
      <c r="E348" s="71" t="n">
        <v>45723</v>
      </c>
      <c r="F348" s="71" t="n">
        <v>46209</v>
      </c>
      <c r="G348" s="88" t="n">
        <f aca="true">IFERROR(TODAY()-F348,0)</f>
        <v>-8</v>
      </c>
      <c r="H348" s="110" t="str">
        <f aca="false">IF(G348&gt;7,"🔴 CRITICAL — Call Immediately",IF(G348&gt;0,"🟠 OVERDUE — Call Today",IF(G348=0,"🟡 DUE TODAY — Schedule Now",IF(G348&gt;-3,"🔵 Due This Week","🟢 Upcoming — On Track"))))</f>
        <v>🟢 Upcoming — On Track</v>
      </c>
    </row>
    <row r="349" customFormat="false" ht="15" hidden="false" customHeight="true" outlineLevel="0" collapsed="false">
      <c r="A349" s="75" t="s">
        <v>1501</v>
      </c>
      <c r="B349" s="77" t="s">
        <v>1502</v>
      </c>
      <c r="C349" s="77" t="s">
        <v>170</v>
      </c>
      <c r="D349" s="75" t="s">
        <v>161</v>
      </c>
      <c r="E349" s="76" t="n">
        <v>45543</v>
      </c>
      <c r="F349" s="76" t="n">
        <v>46209</v>
      </c>
      <c r="G349" s="87" t="n">
        <f aca="true">IFERROR(TODAY()-F349,0)</f>
        <v>-8</v>
      </c>
      <c r="H349" s="112" t="str">
        <f aca="false">IF(G349&gt;7,"🔴 CRITICAL — Call Immediately",IF(G349&gt;0,"🟠 OVERDUE — Call Today",IF(G349=0,"🟡 DUE TODAY — Schedule Now",IF(G349&gt;-3,"🔵 Due This Week","🟢 Upcoming — On Track"))))</f>
        <v>🟢 Upcoming — On Track</v>
      </c>
    </row>
    <row r="350" customFormat="false" ht="15" hidden="false" customHeight="true" outlineLevel="0" collapsed="false">
      <c r="A350" s="70" t="s">
        <v>1544</v>
      </c>
      <c r="B350" s="72" t="s">
        <v>603</v>
      </c>
      <c r="C350" s="72" t="s">
        <v>209</v>
      </c>
      <c r="D350" s="70" t="s">
        <v>104</v>
      </c>
      <c r="E350" s="71" t="n">
        <v>45542</v>
      </c>
      <c r="F350" s="71" t="n">
        <v>46209</v>
      </c>
      <c r="G350" s="88" t="n">
        <f aca="true">IFERROR(TODAY()-F350,0)</f>
        <v>-8</v>
      </c>
      <c r="H350" s="110" t="str">
        <f aca="false">IF(G350&gt;7,"🔴 CRITICAL — Call Immediately",IF(G350&gt;0,"🟠 OVERDUE — Call Today",IF(G350=0,"🟡 DUE TODAY — Schedule Now",IF(G350&gt;-3,"🔵 Due This Week","🟢 Upcoming — On Track"))))</f>
        <v>🟢 Upcoming — On Track</v>
      </c>
    </row>
    <row r="351" customFormat="false" ht="15" hidden="false" customHeight="true" outlineLevel="0" collapsed="false">
      <c r="A351" s="75" t="s">
        <v>152</v>
      </c>
      <c r="B351" s="77" t="s">
        <v>153</v>
      </c>
      <c r="C351" s="77" t="s">
        <v>112</v>
      </c>
      <c r="D351" s="75" t="s">
        <v>143</v>
      </c>
      <c r="E351" s="76" t="n">
        <v>45616</v>
      </c>
      <c r="F351" s="76" t="n">
        <v>46210</v>
      </c>
      <c r="G351" s="87" t="n">
        <f aca="true">IFERROR(TODAY()-F351,0)</f>
        <v>-9</v>
      </c>
      <c r="H351" s="112" t="str">
        <f aca="false">IF(G351&gt;7,"🔴 CRITICAL — Call Immediately",IF(G351&gt;0,"🟠 OVERDUE — Call Today",IF(G351=0,"🟡 DUE TODAY — Schedule Now",IF(G351&gt;-3,"🔵 Due This Week","🟢 Upcoming — On Track"))))</f>
        <v>🟢 Upcoming — On Track</v>
      </c>
    </row>
    <row r="352" customFormat="false" ht="15" hidden="false" customHeight="true" outlineLevel="0" collapsed="false">
      <c r="A352" s="70" t="s">
        <v>501</v>
      </c>
      <c r="B352" s="72" t="s">
        <v>502</v>
      </c>
      <c r="C352" s="72" t="s">
        <v>103</v>
      </c>
      <c r="D352" s="70" t="s">
        <v>94</v>
      </c>
      <c r="E352" s="71" t="n">
        <v>45531</v>
      </c>
      <c r="F352" s="71" t="n">
        <v>46210</v>
      </c>
      <c r="G352" s="88" t="n">
        <f aca="true">IFERROR(TODAY()-F352,0)</f>
        <v>-9</v>
      </c>
      <c r="H352" s="110" t="str">
        <f aca="false">IF(G352&gt;7,"🔴 CRITICAL — Call Immediately",IF(G352&gt;0,"🟠 OVERDUE — Call Today",IF(G352=0,"🟡 DUE TODAY — Schedule Now",IF(G352&gt;-3,"🔵 Due This Week","🟢 Upcoming — On Track"))))</f>
        <v>🟢 Upcoming — On Track</v>
      </c>
    </row>
    <row r="353" customFormat="false" ht="15" hidden="false" customHeight="true" outlineLevel="0" collapsed="false">
      <c r="A353" s="75" t="s">
        <v>720</v>
      </c>
      <c r="B353" s="77" t="s">
        <v>721</v>
      </c>
      <c r="C353" s="77" t="s">
        <v>112</v>
      </c>
      <c r="D353" s="75" t="s">
        <v>161</v>
      </c>
      <c r="E353" s="76" t="n">
        <v>45687</v>
      </c>
      <c r="F353" s="76" t="n">
        <v>46210</v>
      </c>
      <c r="G353" s="87" t="n">
        <f aca="true">IFERROR(TODAY()-F353,0)</f>
        <v>-9</v>
      </c>
      <c r="H353" s="112" t="str">
        <f aca="false">IF(G353&gt;7,"🔴 CRITICAL — Call Immediately",IF(G353&gt;0,"🟠 OVERDUE — Call Today",IF(G353=0,"🟡 DUE TODAY — Schedule Now",IF(G353&gt;-3,"🔵 Due This Week","🟢 Upcoming — On Track"))))</f>
        <v>🟢 Upcoming — On Track</v>
      </c>
    </row>
    <row r="354" customFormat="false" ht="15" hidden="false" customHeight="true" outlineLevel="0" collapsed="false">
      <c r="A354" s="70" t="s">
        <v>732</v>
      </c>
      <c r="B354" s="72" t="s">
        <v>733</v>
      </c>
      <c r="C354" s="72" t="s">
        <v>103</v>
      </c>
      <c r="D354" s="70" t="s">
        <v>143</v>
      </c>
      <c r="E354" s="71" t="n">
        <v>45396</v>
      </c>
      <c r="F354" s="71" t="n">
        <v>46210</v>
      </c>
      <c r="G354" s="88" t="n">
        <f aca="true">IFERROR(TODAY()-F354,0)</f>
        <v>-9</v>
      </c>
      <c r="H354" s="110" t="str">
        <f aca="false">IF(G354&gt;7,"🔴 CRITICAL — Call Immediately",IF(G354&gt;0,"🟠 OVERDUE — Call Today",IF(G354=0,"🟡 DUE TODAY — Schedule Now",IF(G354&gt;-3,"🔵 Due This Week","🟢 Upcoming — On Track"))))</f>
        <v>🟢 Upcoming — On Track</v>
      </c>
    </row>
    <row r="355" customFormat="false" ht="15" hidden="false" customHeight="true" outlineLevel="0" collapsed="false">
      <c r="A355" s="75" t="s">
        <v>789</v>
      </c>
      <c r="B355" s="77" t="s">
        <v>790</v>
      </c>
      <c r="C355" s="77" t="s">
        <v>93</v>
      </c>
      <c r="D355" s="75" t="s">
        <v>104</v>
      </c>
      <c r="E355" s="76" t="n">
        <v>45427</v>
      </c>
      <c r="F355" s="76" t="n">
        <v>46210</v>
      </c>
      <c r="G355" s="87" t="n">
        <f aca="true">IFERROR(TODAY()-F355,0)</f>
        <v>-9</v>
      </c>
      <c r="H355" s="112" t="str">
        <f aca="false">IF(G355&gt;7,"🔴 CRITICAL — Call Immediately",IF(G355&gt;0,"🟠 OVERDUE — Call Today",IF(G355=0,"🟡 DUE TODAY — Schedule Now",IF(G355&gt;-3,"🔵 Due This Week","🟢 Upcoming — On Track"))))</f>
        <v>🟢 Upcoming — On Track</v>
      </c>
    </row>
    <row r="356" customFormat="false" ht="15" hidden="false" customHeight="true" outlineLevel="0" collapsed="false">
      <c r="A356" s="70" t="s">
        <v>818</v>
      </c>
      <c r="B356" s="72" t="s">
        <v>819</v>
      </c>
      <c r="C356" s="72" t="s">
        <v>112</v>
      </c>
      <c r="D356" s="70" t="s">
        <v>104</v>
      </c>
      <c r="E356" s="71" t="n">
        <v>45622</v>
      </c>
      <c r="F356" s="71" t="n">
        <v>46210</v>
      </c>
      <c r="G356" s="88" t="n">
        <f aca="true">IFERROR(TODAY()-F356,0)</f>
        <v>-9</v>
      </c>
      <c r="H356" s="110" t="str">
        <f aca="false">IF(G356&gt;7,"🔴 CRITICAL — Call Immediately",IF(G356&gt;0,"🟠 OVERDUE — Call Today",IF(G356=0,"🟡 DUE TODAY — Schedule Now",IF(G356&gt;-3,"🔵 Due This Week","🟢 Upcoming — On Track"))))</f>
        <v>🟢 Upcoming — On Track</v>
      </c>
    </row>
    <row r="357" customFormat="false" ht="15" hidden="false" customHeight="true" outlineLevel="0" collapsed="false">
      <c r="A357" s="75" t="s">
        <v>1183</v>
      </c>
      <c r="B357" s="77" t="s">
        <v>1184</v>
      </c>
      <c r="C357" s="77" t="s">
        <v>170</v>
      </c>
      <c r="D357" s="75" t="s">
        <v>143</v>
      </c>
      <c r="E357" s="76" t="n">
        <v>45502</v>
      </c>
      <c r="F357" s="76" t="n">
        <v>46210</v>
      </c>
      <c r="G357" s="87" t="n">
        <f aca="true">IFERROR(TODAY()-F357,0)</f>
        <v>-9</v>
      </c>
      <c r="H357" s="112" t="str">
        <f aca="false">IF(G357&gt;7,"🔴 CRITICAL — Call Immediately",IF(G357&gt;0,"🟠 OVERDUE — Call Today",IF(G357=0,"🟡 DUE TODAY — Schedule Now",IF(G357&gt;-3,"🔵 Due This Week","🟢 Upcoming — On Track"))))</f>
        <v>🟢 Upcoming — On Track</v>
      </c>
    </row>
    <row r="358" customFormat="false" ht="15" hidden="false" customHeight="true" outlineLevel="0" collapsed="false">
      <c r="A358" s="70" t="s">
        <v>1297</v>
      </c>
      <c r="B358" s="72" t="s">
        <v>1298</v>
      </c>
      <c r="C358" s="72" t="s">
        <v>191</v>
      </c>
      <c r="D358" s="70" t="s">
        <v>104</v>
      </c>
      <c r="E358" s="71" t="n">
        <v>45613</v>
      </c>
      <c r="F358" s="71" t="n">
        <v>46210</v>
      </c>
      <c r="G358" s="88" t="n">
        <f aca="true">IFERROR(TODAY()-F358,0)</f>
        <v>-9</v>
      </c>
      <c r="H358" s="110" t="str">
        <f aca="false">IF(G358&gt;7,"🔴 CRITICAL — Call Immediately",IF(G358&gt;0,"🟠 OVERDUE — Call Today",IF(G358=0,"🟡 DUE TODAY — Schedule Now",IF(G358&gt;-3,"🔵 Due This Week","🟢 Upcoming — On Track"))))</f>
        <v>🟢 Upcoming — On Track</v>
      </c>
    </row>
    <row r="359" customFormat="false" ht="15" hidden="false" customHeight="true" outlineLevel="0" collapsed="false">
      <c r="A359" s="75" t="s">
        <v>1406</v>
      </c>
      <c r="B359" s="77" t="s">
        <v>1407</v>
      </c>
      <c r="C359" s="77" t="s">
        <v>209</v>
      </c>
      <c r="D359" s="75" t="s">
        <v>104</v>
      </c>
      <c r="E359" s="76" t="n">
        <v>45427</v>
      </c>
      <c r="F359" s="76" t="n">
        <v>46210</v>
      </c>
      <c r="G359" s="87" t="n">
        <f aca="true">IFERROR(TODAY()-F359,0)</f>
        <v>-9</v>
      </c>
      <c r="H359" s="112" t="str">
        <f aca="false">IF(G359&gt;7,"🔴 CRITICAL — Call Immediately",IF(G359&gt;0,"🟠 OVERDUE — Call Today",IF(G359=0,"🟡 DUE TODAY — Schedule Now",IF(G359&gt;-3,"🔵 Due This Week","🟢 Upcoming — On Track"))))</f>
        <v>🟢 Upcoming — On Track</v>
      </c>
    </row>
    <row r="360" customFormat="false" ht="15" hidden="false" customHeight="true" outlineLevel="0" collapsed="false">
      <c r="A360" s="70" t="s">
        <v>1409</v>
      </c>
      <c r="B360" s="72" t="s">
        <v>1410</v>
      </c>
      <c r="C360" s="72" t="s">
        <v>142</v>
      </c>
      <c r="D360" s="70" t="s">
        <v>161</v>
      </c>
      <c r="E360" s="71" t="n">
        <v>45554</v>
      </c>
      <c r="F360" s="71" t="n">
        <v>46210</v>
      </c>
      <c r="G360" s="88" t="n">
        <f aca="true">IFERROR(TODAY()-F360,0)</f>
        <v>-9</v>
      </c>
      <c r="H360" s="110" t="str">
        <f aca="false">IF(G360&gt;7,"🔴 CRITICAL — Call Immediately",IF(G360&gt;0,"🟠 OVERDUE — Call Today",IF(G360=0,"🟡 DUE TODAY — Schedule Now",IF(G360&gt;-3,"🔵 Due This Week","🟢 Upcoming — On Track"))))</f>
        <v>🟢 Upcoming — On Track</v>
      </c>
    </row>
    <row r="361" customFormat="false" ht="15" hidden="false" customHeight="true" outlineLevel="0" collapsed="false">
      <c r="A361" s="75" t="s">
        <v>1480</v>
      </c>
      <c r="B361" s="77" t="s">
        <v>1481</v>
      </c>
      <c r="C361" s="77" t="s">
        <v>124</v>
      </c>
      <c r="D361" s="75" t="s">
        <v>161</v>
      </c>
      <c r="E361" s="76" t="n">
        <v>45443</v>
      </c>
      <c r="F361" s="76" t="n">
        <v>46210</v>
      </c>
      <c r="G361" s="87" t="n">
        <f aca="true">IFERROR(TODAY()-F361,0)</f>
        <v>-9</v>
      </c>
      <c r="H361" s="112" t="str">
        <f aca="false">IF(G361&gt;7,"🔴 CRITICAL — Call Immediately",IF(G361&gt;0,"🟠 OVERDUE — Call Today",IF(G361=0,"🟡 DUE TODAY — Schedule Now",IF(G361&gt;-3,"🔵 Due This Week","🟢 Upcoming — On Track"))))</f>
        <v>🟢 Upcoming — On Track</v>
      </c>
    </row>
    <row r="362" customFormat="false" ht="15" hidden="false" customHeight="true" outlineLevel="0" collapsed="false">
      <c r="A362" s="70" t="s">
        <v>1554</v>
      </c>
      <c r="B362" s="72" t="s">
        <v>1555</v>
      </c>
      <c r="C362" s="72" t="s">
        <v>93</v>
      </c>
      <c r="D362" s="70" t="s">
        <v>120</v>
      </c>
      <c r="E362" s="71" t="n">
        <v>45599</v>
      </c>
      <c r="F362" s="71" t="n">
        <v>46210</v>
      </c>
      <c r="G362" s="88" t="n">
        <f aca="true">IFERROR(TODAY()-F362,0)</f>
        <v>-9</v>
      </c>
      <c r="H362" s="110" t="str">
        <f aca="false">IF(G362&gt;7,"🔴 CRITICAL — Call Immediately",IF(G362&gt;0,"🟠 OVERDUE — Call Today",IF(G362=0,"🟡 DUE TODAY — Schedule Now",IF(G362&gt;-3,"🔵 Due This Week","🟢 Upcoming — On Track"))))</f>
        <v>🟢 Upcoming — On Track</v>
      </c>
    </row>
    <row r="363" customFormat="false" ht="15" hidden="false" customHeight="true" outlineLevel="0" collapsed="false">
      <c r="A363" s="75" t="s">
        <v>1457</v>
      </c>
      <c r="B363" s="77" t="s">
        <v>1458</v>
      </c>
      <c r="C363" s="77" t="s">
        <v>103</v>
      </c>
      <c r="D363" s="75" t="s">
        <v>120</v>
      </c>
      <c r="E363" s="76" t="n">
        <v>45597</v>
      </c>
      <c r="F363" s="76" t="n">
        <v>46211</v>
      </c>
      <c r="G363" s="87" t="n">
        <f aca="true">IFERROR(TODAY()-F363,0)</f>
        <v>-10</v>
      </c>
      <c r="H363" s="112" t="str">
        <f aca="false">IF(G363&gt;7,"🔴 CRITICAL — Call Immediately",IF(G363&gt;0,"🟠 OVERDUE — Call Today",IF(G363=0,"🟡 DUE TODAY — Schedule Now",IF(G363&gt;-3,"🔵 Due This Week","🟢 Upcoming — On Track"))))</f>
        <v>🟢 Upcoming — On Track</v>
      </c>
    </row>
    <row r="364" customFormat="false" ht="15" hidden="false" customHeight="true" outlineLevel="0" collapsed="false">
      <c r="A364" s="70" t="s">
        <v>334</v>
      </c>
      <c r="B364" s="72" t="s">
        <v>335</v>
      </c>
      <c r="C364" s="72" t="s">
        <v>112</v>
      </c>
      <c r="D364" s="70" t="s">
        <v>120</v>
      </c>
      <c r="E364" s="71" t="n">
        <v>45533</v>
      </c>
      <c r="F364" s="71" t="n">
        <v>46212</v>
      </c>
      <c r="G364" s="88" t="n">
        <f aca="true">IFERROR(TODAY()-F364,0)</f>
        <v>-11</v>
      </c>
      <c r="H364" s="110" t="str">
        <f aca="false">IF(G364&gt;7,"🔴 CRITICAL — Call Immediately",IF(G364&gt;0,"🟠 OVERDUE — Call Today",IF(G364=0,"🟡 DUE TODAY — Schedule Now",IF(G364&gt;-3,"🔵 Due This Week","🟢 Upcoming — On Track"))))</f>
        <v>🟢 Upcoming — On Track</v>
      </c>
    </row>
    <row r="365" customFormat="false" ht="15" hidden="false" customHeight="true" outlineLevel="0" collapsed="false">
      <c r="A365" s="75" t="s">
        <v>873</v>
      </c>
      <c r="B365" s="77" t="s">
        <v>874</v>
      </c>
      <c r="C365" s="77" t="s">
        <v>124</v>
      </c>
      <c r="D365" s="75" t="s">
        <v>120</v>
      </c>
      <c r="E365" s="76" t="n">
        <v>45606</v>
      </c>
      <c r="F365" s="76" t="n">
        <v>46212</v>
      </c>
      <c r="G365" s="87" t="n">
        <f aca="true">IFERROR(TODAY()-F365,0)</f>
        <v>-11</v>
      </c>
      <c r="H365" s="112" t="str">
        <f aca="false">IF(G365&gt;7,"🔴 CRITICAL — Call Immediately",IF(G365&gt;0,"🟠 OVERDUE — Call Today",IF(G365=0,"🟡 DUE TODAY — Schedule Now",IF(G365&gt;-3,"🔵 Due This Week","🟢 Upcoming — On Track"))))</f>
        <v>🟢 Upcoming — On Track</v>
      </c>
    </row>
    <row r="366" customFormat="false" ht="15" hidden="false" customHeight="true" outlineLevel="0" collapsed="false">
      <c r="A366" s="70" t="s">
        <v>256</v>
      </c>
      <c r="B366" s="72" t="s">
        <v>257</v>
      </c>
      <c r="C366" s="72" t="s">
        <v>124</v>
      </c>
      <c r="D366" s="70" t="s">
        <v>120</v>
      </c>
      <c r="E366" s="71" t="n">
        <v>45408</v>
      </c>
      <c r="F366" s="71" t="n">
        <v>46213</v>
      </c>
      <c r="G366" s="88" t="n">
        <f aca="true">IFERROR(TODAY()-F366,0)</f>
        <v>-12</v>
      </c>
      <c r="H366" s="110" t="str">
        <f aca="false">IF(G366&gt;7,"🔴 CRITICAL — Call Immediately",IF(G366&gt;0,"🟠 OVERDUE — Call Today",IF(G366=0,"🟡 DUE TODAY — Schedule Now",IF(G366&gt;-3,"🔵 Due This Week","🟢 Upcoming — On Track"))))</f>
        <v>🟢 Upcoming — On Track</v>
      </c>
    </row>
    <row r="367" customFormat="false" ht="15" hidden="false" customHeight="true" outlineLevel="0" collapsed="false">
      <c r="A367" s="75" t="s">
        <v>1339</v>
      </c>
      <c r="B367" s="77" t="s">
        <v>1340</v>
      </c>
      <c r="C367" s="77" t="s">
        <v>124</v>
      </c>
      <c r="D367" s="75" t="s">
        <v>120</v>
      </c>
      <c r="E367" s="76" t="n">
        <v>45409</v>
      </c>
      <c r="F367" s="76" t="n">
        <v>46213</v>
      </c>
      <c r="G367" s="87" t="n">
        <f aca="true">IFERROR(TODAY()-F367,0)</f>
        <v>-12</v>
      </c>
      <c r="H367" s="112" t="str">
        <f aca="false">IF(G367&gt;7,"🔴 CRITICAL — Call Immediately",IF(G367&gt;0,"🟠 OVERDUE — Call Today",IF(G367=0,"🟡 DUE TODAY — Schedule Now",IF(G367&gt;-3,"🔵 Due This Week","🟢 Upcoming — On Track"))))</f>
        <v>🟢 Upcoming — On Track</v>
      </c>
    </row>
    <row r="368" customFormat="false" ht="15" hidden="false" customHeight="true" outlineLevel="0" collapsed="false">
      <c r="A368" s="70" t="s">
        <v>1396</v>
      </c>
      <c r="B368" s="72" t="s">
        <v>1397</v>
      </c>
      <c r="C368" s="72" t="s">
        <v>191</v>
      </c>
      <c r="D368" s="70" t="s">
        <v>120</v>
      </c>
      <c r="E368" s="71" t="n">
        <v>45556</v>
      </c>
      <c r="F368" s="71" t="n">
        <v>46213</v>
      </c>
      <c r="G368" s="88" t="n">
        <f aca="true">IFERROR(TODAY()-F368,0)</f>
        <v>-12</v>
      </c>
      <c r="H368" s="110" t="str">
        <f aca="false">IF(G368&gt;7,"🔴 CRITICAL — Call Immediately",IF(G368&gt;0,"🟠 OVERDUE — Call Today",IF(G368=0,"🟡 DUE TODAY — Schedule Now",IF(G368&gt;-3,"🔵 Due This Week","🟢 Upcoming — On Track"))))</f>
        <v>🟢 Upcoming — On Track</v>
      </c>
    </row>
    <row r="369" customFormat="false" ht="15" hidden="false" customHeight="true" outlineLevel="0" collapsed="false">
      <c r="A369" s="75" t="s">
        <v>1528</v>
      </c>
      <c r="B369" s="77" t="s">
        <v>798</v>
      </c>
      <c r="C369" s="77" t="s">
        <v>178</v>
      </c>
      <c r="D369" s="75" t="s">
        <v>120</v>
      </c>
      <c r="E369" s="76" t="n">
        <v>45443</v>
      </c>
      <c r="F369" s="76" t="n">
        <v>46213</v>
      </c>
      <c r="G369" s="87" t="n">
        <f aca="true">IFERROR(TODAY()-F369,0)</f>
        <v>-12</v>
      </c>
      <c r="H369" s="112" t="str">
        <f aca="false">IF(G369&gt;7,"🔴 CRITICAL — Call Immediately",IF(G369&gt;0,"🟠 OVERDUE — Call Today",IF(G369=0,"🟡 DUE TODAY — Schedule Now",IF(G369&gt;-3,"🔵 Due This Week","🟢 Upcoming — On Track"))))</f>
        <v>🟢 Upcoming — On Track</v>
      </c>
    </row>
    <row r="370" customFormat="false" ht="15" hidden="false" customHeight="true" outlineLevel="0" collapsed="false">
      <c r="A370" s="70" t="s">
        <v>398</v>
      </c>
      <c r="B370" s="72" t="s">
        <v>399</v>
      </c>
      <c r="C370" s="72" t="s">
        <v>124</v>
      </c>
      <c r="D370" s="70" t="s">
        <v>120</v>
      </c>
      <c r="E370" s="71" t="n">
        <v>45662</v>
      </c>
      <c r="F370" s="71" t="n">
        <v>46215</v>
      </c>
      <c r="G370" s="88" t="n">
        <f aca="true">IFERROR(TODAY()-F370,0)</f>
        <v>-14</v>
      </c>
      <c r="H370" s="110" t="str">
        <f aca="false">IF(G370&gt;7,"🔴 CRITICAL — Call Immediately",IF(G370&gt;0,"🟠 OVERDUE — Call Today",IF(G370=0,"🟡 DUE TODAY — Schedule Now",IF(G370&gt;-3,"🔵 Due This Week","🟢 Upcoming — On Track"))))</f>
        <v>🟢 Upcoming — On Track</v>
      </c>
    </row>
    <row r="371" customFormat="false" ht="15" hidden="false" customHeight="true" outlineLevel="0" collapsed="false">
      <c r="A371" s="75" t="s">
        <v>495</v>
      </c>
      <c r="B371" s="77" t="s">
        <v>496</v>
      </c>
      <c r="C371" s="77" t="s">
        <v>142</v>
      </c>
      <c r="D371" s="75" t="s">
        <v>120</v>
      </c>
      <c r="E371" s="76" t="n">
        <v>45559</v>
      </c>
      <c r="F371" s="76" t="n">
        <v>46215</v>
      </c>
      <c r="G371" s="87" t="n">
        <f aca="true">IFERROR(TODAY()-F371,0)</f>
        <v>-14</v>
      </c>
      <c r="H371" s="112" t="str">
        <f aca="false">IF(G371&gt;7,"🔴 CRITICAL — Call Immediately",IF(G371&gt;0,"🟠 OVERDUE — Call Today",IF(G371=0,"🟡 DUE TODAY — Schedule Now",IF(G371&gt;-3,"🔵 Due This Week","🟢 Upcoming — On Track"))))</f>
        <v>🟢 Upcoming — On Track</v>
      </c>
    </row>
  </sheetData>
  <mergeCells count="2">
    <mergeCell ref="A1:H1"/>
    <mergeCell ref="A2:H2"/>
  </mergeCells>
  <conditionalFormatting sqref="G4:G371">
    <cfRule type="cellIs" priority="2" operator="greaterThan" aboveAverage="0" equalAverage="0" bottom="0" percent="0" rank="0" text="" dxfId="2">
      <formula>7</formula>
    </cfRule>
    <cfRule type="cellIs" priority="3" operator="between" aboveAverage="0" equalAverage="0" bottom="0" percent="0" rank="0" text="" dxfId="7">
      <formula>1</formula>
      <formula>7</formula>
    </cfRule>
    <cfRule type="cellIs" priority="4" operator="equal" aboveAverage="0" equalAverage="0" bottom="0" percent="0" rank="0" text="" dxfId="1">
      <formula>0</formula>
    </cfRule>
    <cfRule type="cellIs" priority="5" operator="less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7" min="4" style="0" width="14"/>
    <col collapsed="false" customWidth="true" hidden="false" outlineLevel="0" max="8" min="8" style="0" width="20"/>
  </cols>
  <sheetData>
    <row r="1" customFormat="false" ht="31.5" hidden="false" customHeight="true" outlineLevel="0" collapsed="false">
      <c r="A1" s="114" t="s">
        <v>2016</v>
      </c>
      <c r="B1" s="114"/>
      <c r="C1" s="114"/>
      <c r="D1" s="114"/>
      <c r="E1" s="114"/>
      <c r="F1" s="114"/>
      <c r="G1" s="114"/>
      <c r="H1" s="114"/>
    </row>
    <row r="2" customFormat="false" ht="18" hidden="false" customHeight="true" outlineLevel="0" collapsed="false">
      <c r="A2" s="115" t="s">
        <v>2017</v>
      </c>
      <c r="B2" s="115"/>
      <c r="C2" s="115"/>
      <c r="D2" s="115"/>
      <c r="E2" s="115"/>
      <c r="F2" s="115"/>
      <c r="G2" s="115"/>
      <c r="H2" s="115"/>
    </row>
    <row r="4" customFormat="false" ht="24" hidden="false" customHeight="true" outlineLevel="0" collapsed="false">
      <c r="A4" s="116" t="s">
        <v>2018</v>
      </c>
      <c r="B4" s="116"/>
      <c r="C4" s="116"/>
      <c r="D4" s="116"/>
      <c r="E4" s="116"/>
      <c r="F4" s="116"/>
      <c r="G4" s="116"/>
      <c r="H4" s="116"/>
    </row>
    <row r="5" customFormat="false" ht="18" hidden="false" customHeight="true" outlineLevel="0" collapsed="false">
      <c r="A5" s="64" t="s">
        <v>2019</v>
      </c>
      <c r="B5" s="64" t="s">
        <v>2020</v>
      </c>
      <c r="C5" s="64" t="s">
        <v>2021</v>
      </c>
      <c r="D5" s="64" t="s">
        <v>2022</v>
      </c>
      <c r="E5" s="64" t="s">
        <v>2023</v>
      </c>
      <c r="F5" s="64" t="s">
        <v>2024</v>
      </c>
      <c r="G5" s="64" t="s">
        <v>2025</v>
      </c>
      <c r="H5" s="64" t="s">
        <v>2026</v>
      </c>
    </row>
    <row r="6" customFormat="false" ht="15" hidden="false" customHeight="false" outlineLevel="0" collapsed="false">
      <c r="A6" s="117" t="n">
        <v>1</v>
      </c>
      <c r="B6" s="118" t="s">
        <v>26</v>
      </c>
      <c r="C6" s="119" t="s">
        <v>2027</v>
      </c>
      <c r="D6" s="119" t="s">
        <v>2028</v>
      </c>
      <c r="E6" s="119" t="s">
        <v>2029</v>
      </c>
      <c r="F6" s="119" t="s">
        <v>2028</v>
      </c>
      <c r="G6" s="120" t="s">
        <v>2030</v>
      </c>
      <c r="H6" s="121" t="s">
        <v>2031</v>
      </c>
    </row>
    <row r="7" customFormat="false" ht="15" hidden="false" customHeight="false" outlineLevel="0" collapsed="false">
      <c r="A7" s="122" t="n">
        <v>2</v>
      </c>
      <c r="B7" s="123" t="s">
        <v>2032</v>
      </c>
      <c r="C7" s="70" t="s">
        <v>2033</v>
      </c>
      <c r="D7" s="70" t="s">
        <v>2034</v>
      </c>
      <c r="E7" s="70" t="s">
        <v>2035</v>
      </c>
      <c r="F7" s="70" t="s">
        <v>2036</v>
      </c>
      <c r="G7" s="72" t="s">
        <v>2037</v>
      </c>
      <c r="H7" s="121" t="s">
        <v>2038</v>
      </c>
    </row>
    <row r="8" customFormat="false" ht="15" hidden="false" customHeight="false" outlineLevel="0" collapsed="false">
      <c r="A8" s="117" t="n">
        <v>3</v>
      </c>
      <c r="B8" s="118" t="s">
        <v>2039</v>
      </c>
      <c r="C8" s="119" t="s">
        <v>2040</v>
      </c>
      <c r="D8" s="119" t="s">
        <v>2041</v>
      </c>
      <c r="E8" s="119" t="s">
        <v>2042</v>
      </c>
      <c r="F8" s="119" t="s">
        <v>2043</v>
      </c>
      <c r="G8" s="120" t="s">
        <v>2044</v>
      </c>
      <c r="H8" s="121" t="s">
        <v>2045</v>
      </c>
    </row>
    <row r="9" customFormat="false" ht="15" hidden="false" customHeight="false" outlineLevel="0" collapsed="false">
      <c r="A9" s="122" t="n">
        <v>4</v>
      </c>
      <c r="B9" s="123" t="s">
        <v>2046</v>
      </c>
      <c r="C9" s="70" t="s">
        <v>2047</v>
      </c>
      <c r="D9" s="70" t="s">
        <v>2048</v>
      </c>
      <c r="E9" s="70" t="s">
        <v>2049</v>
      </c>
      <c r="F9" s="70" t="s">
        <v>2050</v>
      </c>
      <c r="G9" s="72" t="s">
        <v>2051</v>
      </c>
      <c r="H9" s="121" t="s">
        <v>2052</v>
      </c>
    </row>
    <row r="10" customFormat="false" ht="15" hidden="false" customHeight="false" outlineLevel="0" collapsed="false">
      <c r="A10" s="117" t="n">
        <v>5</v>
      </c>
      <c r="B10" s="118" t="s">
        <v>2053</v>
      </c>
      <c r="C10" s="119" t="s">
        <v>2054</v>
      </c>
      <c r="D10" s="119" t="s">
        <v>2055</v>
      </c>
      <c r="E10" s="119" t="s">
        <v>2056</v>
      </c>
      <c r="F10" s="119" t="s">
        <v>2057</v>
      </c>
      <c r="G10" s="120" t="s">
        <v>2058</v>
      </c>
      <c r="H10" s="121" t="s">
        <v>2059</v>
      </c>
    </row>
    <row r="12" customFormat="false" ht="24" hidden="false" customHeight="true" outlineLevel="0" collapsed="false">
      <c r="A12" s="124" t="s">
        <v>2060</v>
      </c>
      <c r="B12" s="124"/>
      <c r="C12" s="124"/>
      <c r="D12" s="124"/>
      <c r="E12" s="124"/>
      <c r="F12" s="124"/>
      <c r="G12" s="124"/>
      <c r="H12" s="124"/>
    </row>
    <row r="13" customFormat="false" ht="18" hidden="false" customHeight="true" outlineLevel="0" collapsed="false">
      <c r="A13" s="80" t="s">
        <v>2019</v>
      </c>
      <c r="B13" s="80" t="s">
        <v>2020</v>
      </c>
      <c r="C13" s="80" t="s">
        <v>2021</v>
      </c>
      <c r="D13" s="80" t="s">
        <v>2022</v>
      </c>
      <c r="E13" s="80" t="s">
        <v>2023</v>
      </c>
      <c r="F13" s="80" t="s">
        <v>2024</v>
      </c>
      <c r="G13" s="80" t="s">
        <v>2025</v>
      </c>
      <c r="H13" s="80" t="s">
        <v>2026</v>
      </c>
    </row>
    <row r="14" customFormat="false" ht="15" hidden="false" customHeight="false" outlineLevel="0" collapsed="false">
      <c r="A14" s="125" t="n">
        <v>1</v>
      </c>
      <c r="B14" s="126" t="s">
        <v>2061</v>
      </c>
      <c r="C14" s="127" t="s">
        <v>2062</v>
      </c>
      <c r="D14" s="127" t="s">
        <v>2063</v>
      </c>
      <c r="E14" s="127" t="s">
        <v>2064</v>
      </c>
      <c r="F14" s="127" t="s">
        <v>2065</v>
      </c>
      <c r="G14" s="128" t="s">
        <v>2066</v>
      </c>
      <c r="H14" s="129" t="s">
        <v>2067</v>
      </c>
    </row>
    <row r="15" customFormat="false" ht="15" hidden="false" customHeight="false" outlineLevel="0" collapsed="false">
      <c r="A15" s="130" t="n">
        <v>2</v>
      </c>
      <c r="B15" s="123" t="s">
        <v>2068</v>
      </c>
      <c r="C15" s="70" t="s">
        <v>2069</v>
      </c>
      <c r="D15" s="70" t="s">
        <v>2070</v>
      </c>
      <c r="E15" s="70" t="s">
        <v>2071</v>
      </c>
      <c r="F15" s="70" t="s">
        <v>2072</v>
      </c>
      <c r="G15" s="72" t="s">
        <v>2073</v>
      </c>
      <c r="H15" s="129" t="s">
        <v>2074</v>
      </c>
    </row>
    <row r="16" customFormat="false" ht="15" hidden="false" customHeight="false" outlineLevel="0" collapsed="false">
      <c r="A16" s="125" t="n">
        <v>3</v>
      </c>
      <c r="B16" s="126" t="s">
        <v>2075</v>
      </c>
      <c r="C16" s="127" t="s">
        <v>2076</v>
      </c>
      <c r="D16" s="127" t="s">
        <v>2077</v>
      </c>
      <c r="E16" s="127" t="s">
        <v>2071</v>
      </c>
      <c r="F16" s="127" t="s">
        <v>2078</v>
      </c>
      <c r="G16" s="128" t="s">
        <v>2079</v>
      </c>
      <c r="H16" s="129" t="s">
        <v>2080</v>
      </c>
    </row>
    <row r="17" customFormat="false" ht="15" hidden="false" customHeight="false" outlineLevel="0" collapsed="false">
      <c r="A17" s="130" t="n">
        <v>4</v>
      </c>
      <c r="B17" s="123" t="s">
        <v>2081</v>
      </c>
      <c r="C17" s="70" t="s">
        <v>2076</v>
      </c>
      <c r="D17" s="70" t="s">
        <v>2082</v>
      </c>
      <c r="E17" s="70" t="s">
        <v>2071</v>
      </c>
      <c r="F17" s="70" t="s">
        <v>2083</v>
      </c>
      <c r="G17" s="72" t="s">
        <v>2084</v>
      </c>
      <c r="H17" s="129" t="s">
        <v>2085</v>
      </c>
    </row>
    <row r="18" customFormat="false" ht="15" hidden="false" customHeight="false" outlineLevel="0" collapsed="false">
      <c r="A18" s="125" t="n">
        <v>5</v>
      </c>
      <c r="B18" s="126" t="s">
        <v>2086</v>
      </c>
      <c r="C18" s="127" t="s">
        <v>2076</v>
      </c>
      <c r="D18" s="127" t="s">
        <v>2087</v>
      </c>
      <c r="E18" s="127" t="s">
        <v>2071</v>
      </c>
      <c r="F18" s="127" t="s">
        <v>2088</v>
      </c>
      <c r="G18" s="128" t="s">
        <v>2089</v>
      </c>
      <c r="H18" s="129" t="s">
        <v>2090</v>
      </c>
    </row>
    <row r="20" customFormat="false" ht="24" hidden="false" customHeight="true" outlineLevel="0" collapsed="false">
      <c r="A20" s="131" t="s">
        <v>2091</v>
      </c>
      <c r="B20" s="131"/>
      <c r="C20" s="131"/>
      <c r="D20" s="131"/>
      <c r="E20" s="131"/>
      <c r="F20" s="131"/>
      <c r="G20" s="131"/>
      <c r="H20" s="131"/>
    </row>
    <row r="21" customFormat="false" ht="18" hidden="false" customHeight="true" outlineLevel="0" collapsed="false">
      <c r="A21" s="80" t="s">
        <v>2019</v>
      </c>
      <c r="B21" s="80" t="s">
        <v>2020</v>
      </c>
      <c r="C21" s="80" t="s">
        <v>2021</v>
      </c>
      <c r="D21" s="80" t="s">
        <v>2022</v>
      </c>
      <c r="E21" s="80" t="s">
        <v>2092</v>
      </c>
      <c r="F21" s="80" t="s">
        <v>2093</v>
      </c>
      <c r="G21" s="80" t="s">
        <v>2094</v>
      </c>
      <c r="H21" s="80" t="s">
        <v>2026</v>
      </c>
    </row>
    <row r="22" customFormat="false" ht="15" hidden="false" customHeight="false" outlineLevel="0" collapsed="false">
      <c r="A22" s="132" t="n">
        <v>1</v>
      </c>
      <c r="B22" s="133" t="s">
        <v>2095</v>
      </c>
      <c r="C22" s="134" t="s">
        <v>2096</v>
      </c>
      <c r="D22" s="134" t="s">
        <v>2097</v>
      </c>
      <c r="E22" s="134" t="s">
        <v>2098</v>
      </c>
      <c r="F22" s="134" t="s">
        <v>2099</v>
      </c>
      <c r="G22" s="134" t="s">
        <v>2100</v>
      </c>
      <c r="H22" s="135" t="s">
        <v>2101</v>
      </c>
    </row>
    <row r="23" customFormat="false" ht="15" hidden="false" customHeight="false" outlineLevel="0" collapsed="false">
      <c r="A23" s="136" t="n">
        <v>2</v>
      </c>
      <c r="B23" s="123" t="s">
        <v>2102</v>
      </c>
      <c r="C23" s="70" t="s">
        <v>2096</v>
      </c>
      <c r="D23" s="70" t="s">
        <v>2103</v>
      </c>
      <c r="E23" s="70" t="s">
        <v>2098</v>
      </c>
      <c r="F23" s="70" t="s">
        <v>2104</v>
      </c>
      <c r="G23" s="70" t="s">
        <v>2105</v>
      </c>
      <c r="H23" s="135" t="s">
        <v>2106</v>
      </c>
    </row>
    <row r="24" customFormat="false" ht="15" hidden="false" customHeight="false" outlineLevel="0" collapsed="false">
      <c r="A24" s="132" t="n">
        <v>3</v>
      </c>
      <c r="B24" s="133" t="s">
        <v>2107</v>
      </c>
      <c r="C24" s="134" t="s">
        <v>2096</v>
      </c>
      <c r="D24" s="134" t="s">
        <v>2108</v>
      </c>
      <c r="E24" s="134" t="s">
        <v>2098</v>
      </c>
      <c r="F24" s="134" t="s">
        <v>2109</v>
      </c>
      <c r="G24" s="134" t="s">
        <v>2110</v>
      </c>
      <c r="H24" s="135" t="s">
        <v>2111</v>
      </c>
    </row>
    <row r="25" customFormat="false" ht="15" hidden="false" customHeight="false" outlineLevel="0" collapsed="false">
      <c r="A25" s="136" t="n">
        <v>4</v>
      </c>
      <c r="B25" s="123" t="s">
        <v>2112</v>
      </c>
      <c r="C25" s="70" t="s">
        <v>2096</v>
      </c>
      <c r="D25" s="70" t="s">
        <v>2113</v>
      </c>
      <c r="E25" s="70" t="s">
        <v>2114</v>
      </c>
      <c r="F25" s="70" t="s">
        <v>2115</v>
      </c>
      <c r="G25" s="70" t="s">
        <v>2116</v>
      </c>
      <c r="H25" s="135" t="s">
        <v>2117</v>
      </c>
    </row>
    <row r="26" customFormat="false" ht="15" hidden="false" customHeight="false" outlineLevel="0" collapsed="false">
      <c r="A26" s="132" t="n">
        <v>5</v>
      </c>
      <c r="B26" s="133" t="s">
        <v>2118</v>
      </c>
      <c r="C26" s="134" t="s">
        <v>1590</v>
      </c>
      <c r="D26" s="134" t="s">
        <v>2119</v>
      </c>
      <c r="E26" s="134" t="s">
        <v>2120</v>
      </c>
      <c r="F26" s="134" t="s">
        <v>2121</v>
      </c>
      <c r="G26" s="134" t="s">
        <v>2122</v>
      </c>
      <c r="H26" s="135" t="s">
        <v>2123</v>
      </c>
    </row>
    <row r="27" customFormat="false" ht="15" hidden="false" customHeight="false" outlineLevel="0" collapsed="false">
      <c r="A27" s="136" t="n">
        <v>6</v>
      </c>
      <c r="B27" s="123" t="s">
        <v>2124</v>
      </c>
      <c r="C27" s="70" t="s">
        <v>2125</v>
      </c>
      <c r="D27" s="70" t="s">
        <v>2126</v>
      </c>
      <c r="E27" s="70" t="s">
        <v>2127</v>
      </c>
      <c r="F27" s="70" t="s">
        <v>2128</v>
      </c>
      <c r="G27" s="70" t="s">
        <v>2129</v>
      </c>
      <c r="H27" s="135" t="s">
        <v>2130</v>
      </c>
    </row>
    <row r="28" customFormat="false" ht="15" hidden="false" customHeight="false" outlineLevel="0" collapsed="false">
      <c r="A28" s="132" t="n">
        <v>7</v>
      </c>
      <c r="B28" s="133" t="s">
        <v>2131</v>
      </c>
      <c r="C28" s="134" t="s">
        <v>2096</v>
      </c>
      <c r="D28" s="134" t="s">
        <v>2132</v>
      </c>
      <c r="E28" s="134" t="s">
        <v>2098</v>
      </c>
      <c r="F28" s="134" t="s">
        <v>2133</v>
      </c>
      <c r="G28" s="134" t="s">
        <v>2134</v>
      </c>
      <c r="H28" s="135" t="s">
        <v>2135</v>
      </c>
    </row>
  </sheetData>
  <mergeCells count="5">
    <mergeCell ref="A1:H1"/>
    <mergeCell ref="A2:H2"/>
    <mergeCell ref="A4:H4"/>
    <mergeCell ref="A12:H12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8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9" min="7" style="0" width="14"/>
    <col collapsed="false" customWidth="true" hidden="false" outlineLevel="0" max="10" min="10" style="0" width="16"/>
  </cols>
  <sheetData>
    <row r="1" customFormat="false" ht="31.5" hidden="false" customHeight="true" outlineLevel="0" collapsed="false">
      <c r="A1" s="114" t="s">
        <v>2136</v>
      </c>
      <c r="B1" s="114"/>
      <c r="C1" s="114"/>
      <c r="D1" s="114"/>
      <c r="E1" s="114"/>
      <c r="F1" s="114"/>
      <c r="G1" s="114"/>
      <c r="H1" s="114"/>
      <c r="I1" s="114"/>
      <c r="J1" s="114"/>
    </row>
    <row r="2" customFormat="false" ht="18" hidden="false" customHeight="true" outlineLevel="0" collapsed="false">
      <c r="A2" s="115" t="s">
        <v>2137</v>
      </c>
      <c r="B2" s="115"/>
      <c r="C2" s="115"/>
      <c r="D2" s="115"/>
      <c r="E2" s="115"/>
      <c r="F2" s="115"/>
      <c r="G2" s="115"/>
      <c r="H2" s="115"/>
      <c r="I2" s="115"/>
      <c r="J2" s="115"/>
    </row>
    <row r="4" customFormat="false" ht="15" hidden="false" customHeight="false" outlineLevel="0" collapsed="false">
      <c r="A4" s="137" t="s">
        <v>2138</v>
      </c>
      <c r="B4" s="137"/>
      <c r="C4" s="138" t="s">
        <v>2139</v>
      </c>
      <c r="D4" s="138"/>
      <c r="E4" s="139" t="s">
        <v>2140</v>
      </c>
      <c r="F4" s="139"/>
      <c r="G4" s="140" t="s">
        <v>2141</v>
      </c>
      <c r="H4" s="140"/>
      <c r="I4" s="141" t="s">
        <v>2142</v>
      </c>
      <c r="J4" s="141"/>
    </row>
    <row r="5" customFormat="false" ht="36" hidden="false" customHeight="true" outlineLevel="0" collapsed="false">
      <c r="A5" s="142" t="n">
        <v>0</v>
      </c>
      <c r="B5" s="142"/>
      <c r="C5" s="143" t="n">
        <v>0</v>
      </c>
      <c r="D5" s="143"/>
      <c r="E5" s="144" t="n">
        <v>0</v>
      </c>
      <c r="F5" s="144"/>
      <c r="G5" s="145" t="n">
        <v>0</v>
      </c>
      <c r="H5" s="145"/>
      <c r="I5" s="146" t="n">
        <v>368</v>
      </c>
      <c r="J5" s="146"/>
    </row>
    <row r="6" customFormat="false" ht="18" hidden="false" customHeight="true" outlineLevel="0" collapsed="false">
      <c r="A6" s="147" t="s">
        <v>2143</v>
      </c>
      <c r="B6" s="147"/>
      <c r="C6" s="148" t="s">
        <v>2143</v>
      </c>
      <c r="D6" s="148"/>
      <c r="E6" s="149" t="s">
        <v>2143</v>
      </c>
      <c r="F6" s="149"/>
      <c r="G6" s="150" t="s">
        <v>2143</v>
      </c>
      <c r="H6" s="150"/>
      <c r="I6" s="151" t="s">
        <v>2144</v>
      </c>
      <c r="J6" s="151"/>
    </row>
    <row r="8" customFormat="false" ht="18" hidden="false" customHeight="true" outlineLevel="0" collapsed="false">
      <c r="A8" s="64" t="s">
        <v>70</v>
      </c>
      <c r="B8" s="64" t="s">
        <v>72</v>
      </c>
      <c r="C8" s="64" t="s">
        <v>1580</v>
      </c>
      <c r="D8" s="64" t="s">
        <v>1579</v>
      </c>
      <c r="E8" s="64" t="s">
        <v>74</v>
      </c>
      <c r="F8" s="64" t="s">
        <v>75</v>
      </c>
      <c r="G8" s="64" t="s">
        <v>71</v>
      </c>
      <c r="H8" s="64" t="s">
        <v>2145</v>
      </c>
      <c r="I8" s="64" t="s">
        <v>2146</v>
      </c>
      <c r="J8" s="64" t="s">
        <v>2147</v>
      </c>
    </row>
    <row r="9" customFormat="false" ht="15" hidden="false" customHeight="false" outlineLevel="0" collapsed="false">
      <c r="A9" s="152" t="s">
        <v>1468</v>
      </c>
      <c r="B9" s="153" t="s">
        <v>251</v>
      </c>
      <c r="C9" s="153" t="s">
        <v>142</v>
      </c>
      <c r="D9" s="152" t="s">
        <v>161</v>
      </c>
      <c r="E9" s="152" t="s">
        <v>108</v>
      </c>
      <c r="F9" s="154" t="n">
        <v>5500000</v>
      </c>
      <c r="G9" s="155" t="n">
        <v>45385</v>
      </c>
      <c r="H9" s="156" t="n">
        <v>816</v>
      </c>
      <c r="I9" s="157" t="s">
        <v>2148</v>
      </c>
      <c r="J9" s="158" t="s">
        <v>2149</v>
      </c>
    </row>
    <row r="10" customFormat="false" ht="15" hidden="false" customHeight="false" outlineLevel="0" collapsed="false">
      <c r="A10" s="70" t="s">
        <v>1557</v>
      </c>
      <c r="B10" s="72" t="s">
        <v>1558</v>
      </c>
      <c r="C10" s="72" t="s">
        <v>170</v>
      </c>
      <c r="D10" s="70" t="s">
        <v>143</v>
      </c>
      <c r="E10" s="70" t="s">
        <v>136</v>
      </c>
      <c r="F10" s="159" t="n">
        <v>13500000</v>
      </c>
      <c r="G10" s="71" t="n">
        <v>45386</v>
      </c>
      <c r="H10" s="74" t="n">
        <v>815</v>
      </c>
      <c r="I10" s="157" t="s">
        <v>2148</v>
      </c>
      <c r="J10" s="160" t="s">
        <v>2149</v>
      </c>
    </row>
    <row r="11" customFormat="false" ht="15" hidden="false" customHeight="false" outlineLevel="0" collapsed="false">
      <c r="A11" s="152" t="s">
        <v>849</v>
      </c>
      <c r="B11" s="153" t="s">
        <v>683</v>
      </c>
      <c r="C11" s="153" t="s">
        <v>103</v>
      </c>
      <c r="D11" s="152" t="s">
        <v>94</v>
      </c>
      <c r="E11" s="152" t="s">
        <v>214</v>
      </c>
      <c r="F11" s="154" t="n">
        <v>9000000</v>
      </c>
      <c r="G11" s="155" t="n">
        <v>45387</v>
      </c>
      <c r="H11" s="156" t="n">
        <v>814</v>
      </c>
      <c r="I11" s="157" t="s">
        <v>2148</v>
      </c>
      <c r="J11" s="158" t="s">
        <v>2149</v>
      </c>
    </row>
    <row r="12" customFormat="false" ht="15" hidden="false" customHeight="false" outlineLevel="0" collapsed="false">
      <c r="A12" s="70" t="s">
        <v>1315</v>
      </c>
      <c r="B12" s="72" t="s">
        <v>1316</v>
      </c>
      <c r="C12" s="72" t="s">
        <v>112</v>
      </c>
      <c r="D12" s="70" t="s">
        <v>143</v>
      </c>
      <c r="E12" s="70" t="s">
        <v>108</v>
      </c>
      <c r="F12" s="159" t="n">
        <v>17100000</v>
      </c>
      <c r="G12" s="71" t="n">
        <v>45387</v>
      </c>
      <c r="H12" s="74" t="n">
        <v>814</v>
      </c>
      <c r="I12" s="157" t="s">
        <v>2148</v>
      </c>
      <c r="J12" s="160" t="s">
        <v>2149</v>
      </c>
    </row>
    <row r="13" customFormat="false" ht="15" hidden="false" customHeight="false" outlineLevel="0" collapsed="false">
      <c r="A13" s="152" t="s">
        <v>1066</v>
      </c>
      <c r="B13" s="153" t="s">
        <v>1067</v>
      </c>
      <c r="C13" s="153" t="s">
        <v>209</v>
      </c>
      <c r="D13" s="152" t="s">
        <v>104</v>
      </c>
      <c r="E13" s="152" t="s">
        <v>108</v>
      </c>
      <c r="F13" s="154" t="n">
        <v>9400000</v>
      </c>
      <c r="G13" s="155" t="n">
        <v>45389</v>
      </c>
      <c r="H13" s="156" t="n">
        <v>812</v>
      </c>
      <c r="I13" s="157" t="s">
        <v>2148</v>
      </c>
      <c r="J13" s="158" t="s">
        <v>2149</v>
      </c>
    </row>
    <row r="14" customFormat="false" ht="15" hidden="false" customHeight="false" outlineLevel="0" collapsed="false">
      <c r="A14" s="70" t="s">
        <v>1362</v>
      </c>
      <c r="B14" s="72" t="s">
        <v>804</v>
      </c>
      <c r="C14" s="72" t="s">
        <v>148</v>
      </c>
      <c r="D14" s="70" t="s">
        <v>94</v>
      </c>
      <c r="E14" s="70" t="s">
        <v>117</v>
      </c>
      <c r="F14" s="159" t="n">
        <v>5300000</v>
      </c>
      <c r="G14" s="71" t="n">
        <v>45389</v>
      </c>
      <c r="H14" s="74" t="n">
        <v>812</v>
      </c>
      <c r="I14" s="157" t="s">
        <v>2148</v>
      </c>
      <c r="J14" s="160" t="s">
        <v>2149</v>
      </c>
    </row>
    <row r="15" customFormat="false" ht="15" hidden="false" customHeight="false" outlineLevel="0" collapsed="false">
      <c r="A15" s="152" t="s">
        <v>711</v>
      </c>
      <c r="B15" s="153" t="s">
        <v>712</v>
      </c>
      <c r="C15" s="153" t="s">
        <v>209</v>
      </c>
      <c r="D15" s="152" t="s">
        <v>104</v>
      </c>
      <c r="E15" s="152" t="s">
        <v>89</v>
      </c>
      <c r="F15" s="154" t="n">
        <v>12900000</v>
      </c>
      <c r="G15" s="155" t="n">
        <v>45390</v>
      </c>
      <c r="H15" s="156" t="n">
        <v>811</v>
      </c>
      <c r="I15" s="157" t="s">
        <v>2148</v>
      </c>
      <c r="J15" s="158" t="s">
        <v>2149</v>
      </c>
    </row>
    <row r="16" customFormat="false" ht="15" hidden="false" customHeight="false" outlineLevel="0" collapsed="false">
      <c r="A16" s="70" t="s">
        <v>1248</v>
      </c>
      <c r="B16" s="72" t="s">
        <v>1249</v>
      </c>
      <c r="C16" s="72" t="s">
        <v>148</v>
      </c>
      <c r="D16" s="70" t="s">
        <v>104</v>
      </c>
      <c r="E16" s="70" t="s">
        <v>239</v>
      </c>
      <c r="F16" s="159" t="n">
        <v>12800000</v>
      </c>
      <c r="G16" s="71" t="n">
        <v>45390</v>
      </c>
      <c r="H16" s="74" t="n">
        <v>811</v>
      </c>
      <c r="I16" s="157" t="s">
        <v>2148</v>
      </c>
      <c r="J16" s="160" t="s">
        <v>2149</v>
      </c>
    </row>
    <row r="17" customFormat="false" ht="15" hidden="false" customHeight="false" outlineLevel="0" collapsed="false">
      <c r="A17" s="152" t="s">
        <v>732</v>
      </c>
      <c r="B17" s="153" t="s">
        <v>733</v>
      </c>
      <c r="C17" s="153" t="s">
        <v>103</v>
      </c>
      <c r="D17" s="152" t="s">
        <v>143</v>
      </c>
      <c r="E17" s="152" t="s">
        <v>155</v>
      </c>
      <c r="F17" s="154" t="n">
        <v>4500000</v>
      </c>
      <c r="G17" s="155" t="n">
        <v>45391</v>
      </c>
      <c r="H17" s="156" t="n">
        <v>810</v>
      </c>
      <c r="I17" s="157" t="s">
        <v>2148</v>
      </c>
      <c r="J17" s="158" t="s">
        <v>2149</v>
      </c>
    </row>
    <row r="18" customFormat="false" ht="15" hidden="false" customHeight="false" outlineLevel="0" collapsed="false">
      <c r="A18" s="70" t="s">
        <v>1412</v>
      </c>
      <c r="B18" s="72" t="s">
        <v>1413</v>
      </c>
      <c r="C18" s="72" t="s">
        <v>170</v>
      </c>
      <c r="D18" s="70" t="s">
        <v>94</v>
      </c>
      <c r="E18" s="70" t="s">
        <v>147</v>
      </c>
      <c r="F18" s="159" t="n">
        <v>20100000</v>
      </c>
      <c r="G18" s="71" t="n">
        <v>45392</v>
      </c>
      <c r="H18" s="74" t="n">
        <v>809</v>
      </c>
      <c r="I18" s="157" t="s">
        <v>2148</v>
      </c>
      <c r="J18" s="160" t="s">
        <v>2149</v>
      </c>
    </row>
    <row r="19" customFormat="false" ht="15" hidden="false" customHeight="false" outlineLevel="0" collapsed="false">
      <c r="A19" s="152" t="s">
        <v>425</v>
      </c>
      <c r="B19" s="153" t="s">
        <v>426</v>
      </c>
      <c r="C19" s="153" t="s">
        <v>170</v>
      </c>
      <c r="D19" s="152" t="s">
        <v>120</v>
      </c>
      <c r="E19" s="152" t="s">
        <v>239</v>
      </c>
      <c r="F19" s="154" t="n">
        <v>8800000</v>
      </c>
      <c r="G19" s="155" t="n">
        <v>45396</v>
      </c>
      <c r="H19" s="156" t="n">
        <v>805</v>
      </c>
      <c r="I19" s="157" t="s">
        <v>2148</v>
      </c>
      <c r="J19" s="158" t="s">
        <v>2149</v>
      </c>
    </row>
    <row r="20" customFormat="false" ht="15" hidden="false" customHeight="false" outlineLevel="0" collapsed="false">
      <c r="A20" s="70" t="s">
        <v>175</v>
      </c>
      <c r="B20" s="72" t="s">
        <v>176</v>
      </c>
      <c r="C20" s="72" t="s">
        <v>178</v>
      </c>
      <c r="D20" s="70" t="s">
        <v>104</v>
      </c>
      <c r="E20" s="70" t="s">
        <v>117</v>
      </c>
      <c r="F20" s="159" t="n">
        <v>4600000</v>
      </c>
      <c r="G20" s="71" t="n">
        <v>45399</v>
      </c>
      <c r="H20" s="74" t="n">
        <v>802</v>
      </c>
      <c r="I20" s="157" t="s">
        <v>2148</v>
      </c>
      <c r="J20" s="160" t="s">
        <v>2149</v>
      </c>
    </row>
    <row r="21" customFormat="false" ht="15" hidden="false" customHeight="false" outlineLevel="0" collapsed="false">
      <c r="A21" s="152" t="s">
        <v>1359</v>
      </c>
      <c r="B21" s="153" t="s">
        <v>1360</v>
      </c>
      <c r="C21" s="153" t="s">
        <v>142</v>
      </c>
      <c r="D21" s="152" t="s">
        <v>104</v>
      </c>
      <c r="E21" s="152" t="s">
        <v>129</v>
      </c>
      <c r="F21" s="154" t="n">
        <v>4900000</v>
      </c>
      <c r="G21" s="155" t="n">
        <v>45399</v>
      </c>
      <c r="H21" s="156" t="n">
        <v>802</v>
      </c>
      <c r="I21" s="157" t="s">
        <v>2148</v>
      </c>
      <c r="J21" s="158" t="s">
        <v>2149</v>
      </c>
    </row>
    <row r="22" customFormat="false" ht="15" hidden="false" customHeight="false" outlineLevel="0" collapsed="false">
      <c r="A22" s="70" t="s">
        <v>1245</v>
      </c>
      <c r="B22" s="72" t="s">
        <v>1246</v>
      </c>
      <c r="C22" s="72" t="s">
        <v>124</v>
      </c>
      <c r="D22" s="70" t="s">
        <v>161</v>
      </c>
      <c r="E22" s="70" t="s">
        <v>99</v>
      </c>
      <c r="F22" s="159" t="n">
        <v>20300000</v>
      </c>
      <c r="G22" s="71" t="n">
        <v>45401</v>
      </c>
      <c r="H22" s="74" t="n">
        <v>800</v>
      </c>
      <c r="I22" s="157" t="s">
        <v>2148</v>
      </c>
      <c r="J22" s="160" t="s">
        <v>2149</v>
      </c>
    </row>
    <row r="23" customFormat="false" ht="15" hidden="false" customHeight="false" outlineLevel="0" collapsed="false">
      <c r="A23" s="152" t="s">
        <v>1364</v>
      </c>
      <c r="B23" s="153" t="s">
        <v>1365</v>
      </c>
      <c r="C23" s="153" t="s">
        <v>148</v>
      </c>
      <c r="D23" s="152" t="s">
        <v>104</v>
      </c>
      <c r="E23" s="152" t="s">
        <v>165</v>
      </c>
      <c r="F23" s="154" t="n">
        <v>10000000</v>
      </c>
      <c r="G23" s="155" t="n">
        <v>45403</v>
      </c>
      <c r="H23" s="156" t="n">
        <v>798</v>
      </c>
      <c r="I23" s="157" t="s">
        <v>2148</v>
      </c>
      <c r="J23" s="158" t="s">
        <v>2149</v>
      </c>
    </row>
    <row r="24" customFormat="false" ht="15" hidden="false" customHeight="false" outlineLevel="0" collapsed="false">
      <c r="A24" s="70" t="s">
        <v>1339</v>
      </c>
      <c r="B24" s="72" t="s">
        <v>1340</v>
      </c>
      <c r="C24" s="72" t="s">
        <v>124</v>
      </c>
      <c r="D24" s="70" t="s">
        <v>120</v>
      </c>
      <c r="E24" s="70" t="s">
        <v>129</v>
      </c>
      <c r="F24" s="159" t="n">
        <v>17000000</v>
      </c>
      <c r="G24" s="71" t="n">
        <v>45404</v>
      </c>
      <c r="H24" s="74" t="n">
        <v>797</v>
      </c>
      <c r="I24" s="157" t="s">
        <v>2148</v>
      </c>
      <c r="J24" s="160" t="s">
        <v>2149</v>
      </c>
    </row>
    <row r="25" customFormat="false" ht="15" hidden="false" customHeight="false" outlineLevel="0" collapsed="false">
      <c r="A25" s="152" t="s">
        <v>694</v>
      </c>
      <c r="B25" s="153" t="s">
        <v>695</v>
      </c>
      <c r="C25" s="153" t="s">
        <v>178</v>
      </c>
      <c r="D25" s="152" t="s">
        <v>104</v>
      </c>
      <c r="E25" s="152" t="s">
        <v>117</v>
      </c>
      <c r="F25" s="154" t="n">
        <v>14500000</v>
      </c>
      <c r="G25" s="155" t="n">
        <v>45405</v>
      </c>
      <c r="H25" s="156" t="n">
        <v>796</v>
      </c>
      <c r="I25" s="157" t="s">
        <v>2148</v>
      </c>
      <c r="J25" s="158" t="s">
        <v>2149</v>
      </c>
    </row>
    <row r="26" customFormat="false" ht="15" hidden="false" customHeight="false" outlineLevel="0" collapsed="false">
      <c r="A26" s="70" t="s">
        <v>256</v>
      </c>
      <c r="B26" s="72" t="s">
        <v>257</v>
      </c>
      <c r="C26" s="72" t="s">
        <v>124</v>
      </c>
      <c r="D26" s="70" t="s">
        <v>120</v>
      </c>
      <c r="E26" s="70" t="s">
        <v>141</v>
      </c>
      <c r="F26" s="159" t="n">
        <v>27200000</v>
      </c>
      <c r="G26" s="71" t="n">
        <v>45406</v>
      </c>
      <c r="H26" s="74" t="n">
        <v>795</v>
      </c>
      <c r="I26" s="157" t="s">
        <v>2148</v>
      </c>
      <c r="J26" s="160" t="s">
        <v>2149</v>
      </c>
    </row>
    <row r="27" customFormat="false" ht="15" hidden="false" customHeight="false" outlineLevel="0" collapsed="false">
      <c r="A27" s="152" t="s">
        <v>742</v>
      </c>
      <c r="B27" s="153" t="s">
        <v>743</v>
      </c>
      <c r="C27" s="153" t="s">
        <v>148</v>
      </c>
      <c r="D27" s="152" t="s">
        <v>161</v>
      </c>
      <c r="E27" s="152" t="s">
        <v>141</v>
      </c>
      <c r="F27" s="154" t="n">
        <v>7400000</v>
      </c>
      <c r="G27" s="155" t="n">
        <v>45406</v>
      </c>
      <c r="H27" s="156" t="n">
        <v>795</v>
      </c>
      <c r="I27" s="157" t="s">
        <v>2148</v>
      </c>
      <c r="J27" s="158" t="s">
        <v>2149</v>
      </c>
    </row>
    <row r="28" customFormat="false" ht="15" hidden="false" customHeight="false" outlineLevel="0" collapsed="false">
      <c r="A28" s="70" t="s">
        <v>1072</v>
      </c>
      <c r="B28" s="72" t="s">
        <v>1073</v>
      </c>
      <c r="C28" s="72" t="s">
        <v>93</v>
      </c>
      <c r="D28" s="70" t="s">
        <v>120</v>
      </c>
      <c r="E28" s="70" t="s">
        <v>108</v>
      </c>
      <c r="F28" s="159" t="n">
        <v>12100000</v>
      </c>
      <c r="G28" s="71" t="n">
        <v>45406</v>
      </c>
      <c r="H28" s="74" t="n">
        <v>795</v>
      </c>
      <c r="I28" s="157" t="s">
        <v>2148</v>
      </c>
      <c r="J28" s="160" t="s">
        <v>2149</v>
      </c>
    </row>
    <row r="29" customFormat="false" ht="15" hidden="false" customHeight="false" outlineLevel="0" collapsed="false">
      <c r="A29" s="152" t="s">
        <v>1337</v>
      </c>
      <c r="B29" s="153" t="s">
        <v>889</v>
      </c>
      <c r="C29" s="153" t="s">
        <v>112</v>
      </c>
      <c r="D29" s="152" t="s">
        <v>104</v>
      </c>
      <c r="E29" s="152" t="s">
        <v>147</v>
      </c>
      <c r="F29" s="154" t="n">
        <v>13500000</v>
      </c>
      <c r="G29" s="155" t="n">
        <v>45409</v>
      </c>
      <c r="H29" s="156" t="n">
        <v>792</v>
      </c>
      <c r="I29" s="157" t="s">
        <v>2148</v>
      </c>
      <c r="J29" s="158" t="s">
        <v>2149</v>
      </c>
    </row>
    <row r="30" customFormat="false" ht="15" hidden="false" customHeight="false" outlineLevel="0" collapsed="false">
      <c r="A30" s="70" t="s">
        <v>133</v>
      </c>
      <c r="B30" s="72" t="s">
        <v>134</v>
      </c>
      <c r="C30" s="72" t="s">
        <v>124</v>
      </c>
      <c r="D30" s="70" t="s">
        <v>94</v>
      </c>
      <c r="E30" s="70" t="s">
        <v>136</v>
      </c>
      <c r="F30" s="159" t="n">
        <v>33500000</v>
      </c>
      <c r="G30" s="71" t="n">
        <v>45411</v>
      </c>
      <c r="H30" s="74" t="n">
        <v>790</v>
      </c>
      <c r="I30" s="157" t="s">
        <v>2148</v>
      </c>
      <c r="J30" s="160" t="s">
        <v>2149</v>
      </c>
    </row>
    <row r="31" customFormat="false" ht="15" hidden="false" customHeight="false" outlineLevel="0" collapsed="false">
      <c r="A31" s="152" t="s">
        <v>682</v>
      </c>
      <c r="B31" s="153" t="s">
        <v>683</v>
      </c>
      <c r="C31" s="153" t="s">
        <v>93</v>
      </c>
      <c r="D31" s="152" t="s">
        <v>161</v>
      </c>
      <c r="E31" s="152" t="s">
        <v>117</v>
      </c>
      <c r="F31" s="154" t="n">
        <v>5400000</v>
      </c>
      <c r="G31" s="155" t="n">
        <v>45413</v>
      </c>
      <c r="H31" s="156" t="n">
        <v>788</v>
      </c>
      <c r="I31" s="157" t="s">
        <v>2148</v>
      </c>
      <c r="J31" s="158" t="s">
        <v>2149</v>
      </c>
    </row>
    <row r="32" customFormat="false" ht="15" hidden="false" customHeight="false" outlineLevel="0" collapsed="false">
      <c r="A32" s="70" t="s">
        <v>1078</v>
      </c>
      <c r="B32" s="72" t="s">
        <v>1079</v>
      </c>
      <c r="C32" s="72" t="s">
        <v>170</v>
      </c>
      <c r="D32" s="70" t="s">
        <v>120</v>
      </c>
      <c r="E32" s="70" t="s">
        <v>89</v>
      </c>
      <c r="F32" s="159" t="n">
        <v>14700000</v>
      </c>
      <c r="G32" s="71" t="n">
        <v>45413</v>
      </c>
      <c r="H32" s="74" t="n">
        <v>788</v>
      </c>
      <c r="I32" s="157" t="s">
        <v>2148</v>
      </c>
      <c r="J32" s="160" t="s">
        <v>2149</v>
      </c>
    </row>
    <row r="33" customFormat="false" ht="15" hidden="false" customHeight="false" outlineLevel="0" collapsed="false">
      <c r="A33" s="152" t="s">
        <v>916</v>
      </c>
      <c r="B33" s="153" t="s">
        <v>917</v>
      </c>
      <c r="C33" s="153" t="s">
        <v>170</v>
      </c>
      <c r="D33" s="152" t="s">
        <v>120</v>
      </c>
      <c r="E33" s="152" t="s">
        <v>99</v>
      </c>
      <c r="F33" s="154" t="n">
        <v>12400000</v>
      </c>
      <c r="G33" s="155" t="n">
        <v>45414</v>
      </c>
      <c r="H33" s="156" t="n">
        <v>787</v>
      </c>
      <c r="I33" s="157" t="s">
        <v>2148</v>
      </c>
      <c r="J33" s="158" t="s">
        <v>2149</v>
      </c>
    </row>
    <row r="34" customFormat="false" ht="15" hidden="false" customHeight="false" outlineLevel="0" collapsed="false">
      <c r="A34" s="70" t="s">
        <v>1424</v>
      </c>
      <c r="B34" s="72" t="s">
        <v>1425</v>
      </c>
      <c r="C34" s="72" t="s">
        <v>103</v>
      </c>
      <c r="D34" s="70" t="s">
        <v>104</v>
      </c>
      <c r="E34" s="70" t="s">
        <v>165</v>
      </c>
      <c r="F34" s="159" t="n">
        <v>12000000</v>
      </c>
      <c r="G34" s="71" t="n">
        <v>45414</v>
      </c>
      <c r="H34" s="74" t="n">
        <v>787</v>
      </c>
      <c r="I34" s="157" t="s">
        <v>2148</v>
      </c>
      <c r="J34" s="160" t="s">
        <v>2149</v>
      </c>
    </row>
    <row r="35" customFormat="false" ht="15" hidden="false" customHeight="false" outlineLevel="0" collapsed="false">
      <c r="A35" s="152" t="s">
        <v>428</v>
      </c>
      <c r="B35" s="153" t="s">
        <v>429</v>
      </c>
      <c r="C35" s="153" t="s">
        <v>191</v>
      </c>
      <c r="D35" s="152" t="s">
        <v>161</v>
      </c>
      <c r="E35" s="152" t="s">
        <v>108</v>
      </c>
      <c r="F35" s="154" t="n">
        <v>9900000</v>
      </c>
      <c r="G35" s="155" t="n">
        <v>45415</v>
      </c>
      <c r="H35" s="156" t="n">
        <v>786</v>
      </c>
      <c r="I35" s="157" t="s">
        <v>2148</v>
      </c>
      <c r="J35" s="158" t="s">
        <v>2149</v>
      </c>
    </row>
    <row r="36" customFormat="false" ht="15" hidden="false" customHeight="false" outlineLevel="0" collapsed="false">
      <c r="A36" s="70" t="s">
        <v>879</v>
      </c>
      <c r="B36" s="72" t="s">
        <v>880</v>
      </c>
      <c r="C36" s="72" t="s">
        <v>191</v>
      </c>
      <c r="D36" s="70" t="s">
        <v>104</v>
      </c>
      <c r="E36" s="70" t="s">
        <v>89</v>
      </c>
      <c r="F36" s="159" t="n">
        <v>5200000</v>
      </c>
      <c r="G36" s="71" t="n">
        <v>45415</v>
      </c>
      <c r="H36" s="74" t="n">
        <v>786</v>
      </c>
      <c r="I36" s="157" t="s">
        <v>2148</v>
      </c>
      <c r="J36" s="160" t="s">
        <v>2149</v>
      </c>
    </row>
    <row r="37" customFormat="false" ht="15" hidden="false" customHeight="false" outlineLevel="0" collapsed="false">
      <c r="A37" s="152" t="s">
        <v>862</v>
      </c>
      <c r="B37" s="153" t="s">
        <v>863</v>
      </c>
      <c r="C37" s="153" t="s">
        <v>142</v>
      </c>
      <c r="D37" s="152" t="s">
        <v>94</v>
      </c>
      <c r="E37" s="152" t="s">
        <v>99</v>
      </c>
      <c r="F37" s="154" t="n">
        <v>12500000</v>
      </c>
      <c r="G37" s="155" t="n">
        <v>45419</v>
      </c>
      <c r="H37" s="156" t="n">
        <v>782</v>
      </c>
      <c r="I37" s="157" t="s">
        <v>2148</v>
      </c>
      <c r="J37" s="158" t="s">
        <v>2149</v>
      </c>
    </row>
    <row r="38" customFormat="false" ht="15" hidden="false" customHeight="false" outlineLevel="0" collapsed="false">
      <c r="A38" s="70" t="s">
        <v>1151</v>
      </c>
      <c r="B38" s="72" t="s">
        <v>254</v>
      </c>
      <c r="C38" s="72" t="s">
        <v>191</v>
      </c>
      <c r="D38" s="70" t="s">
        <v>94</v>
      </c>
      <c r="E38" s="70" t="s">
        <v>141</v>
      </c>
      <c r="F38" s="159" t="n">
        <v>21900000</v>
      </c>
      <c r="G38" s="71" t="n">
        <v>45419</v>
      </c>
      <c r="H38" s="74" t="n">
        <v>782</v>
      </c>
      <c r="I38" s="157" t="s">
        <v>2148</v>
      </c>
      <c r="J38" s="160" t="s">
        <v>2149</v>
      </c>
    </row>
    <row r="39" customFormat="false" ht="15" hidden="false" customHeight="false" outlineLevel="0" collapsed="false">
      <c r="A39" s="152" t="s">
        <v>1294</v>
      </c>
      <c r="B39" s="153" t="s">
        <v>1295</v>
      </c>
      <c r="C39" s="153" t="s">
        <v>148</v>
      </c>
      <c r="D39" s="152" t="s">
        <v>143</v>
      </c>
      <c r="E39" s="152" t="s">
        <v>155</v>
      </c>
      <c r="F39" s="154" t="n">
        <v>14600000</v>
      </c>
      <c r="G39" s="155" t="n">
        <v>45419</v>
      </c>
      <c r="H39" s="156" t="n">
        <v>782</v>
      </c>
      <c r="I39" s="157" t="s">
        <v>2148</v>
      </c>
      <c r="J39" s="158" t="s">
        <v>2149</v>
      </c>
    </row>
    <row r="40" customFormat="false" ht="15" hidden="false" customHeight="false" outlineLevel="0" collapsed="false">
      <c r="A40" s="70" t="s">
        <v>401</v>
      </c>
      <c r="B40" s="72" t="s">
        <v>402</v>
      </c>
      <c r="C40" s="72" t="s">
        <v>93</v>
      </c>
      <c r="D40" s="70" t="s">
        <v>143</v>
      </c>
      <c r="E40" s="70" t="s">
        <v>214</v>
      </c>
      <c r="F40" s="159" t="n">
        <v>27700000</v>
      </c>
      <c r="G40" s="71" t="n">
        <v>45421</v>
      </c>
      <c r="H40" s="74" t="n">
        <v>780</v>
      </c>
      <c r="I40" s="157" t="s">
        <v>2148</v>
      </c>
      <c r="J40" s="160" t="s">
        <v>2149</v>
      </c>
    </row>
    <row r="41" customFormat="false" ht="15" hidden="false" customHeight="false" outlineLevel="0" collapsed="false">
      <c r="A41" s="152" t="s">
        <v>1194</v>
      </c>
      <c r="B41" s="153" t="s">
        <v>1195</v>
      </c>
      <c r="C41" s="153" t="s">
        <v>209</v>
      </c>
      <c r="D41" s="152" t="s">
        <v>161</v>
      </c>
      <c r="E41" s="152" t="s">
        <v>117</v>
      </c>
      <c r="F41" s="154" t="n">
        <v>14700000</v>
      </c>
      <c r="G41" s="155" t="n">
        <v>45422</v>
      </c>
      <c r="H41" s="156" t="n">
        <v>779</v>
      </c>
      <c r="I41" s="157" t="s">
        <v>2148</v>
      </c>
      <c r="J41" s="158" t="s">
        <v>2149</v>
      </c>
    </row>
    <row r="42" customFormat="false" ht="15" hidden="false" customHeight="false" outlineLevel="0" collapsed="false">
      <c r="A42" s="70" t="s">
        <v>1536</v>
      </c>
      <c r="B42" s="72" t="s">
        <v>1537</v>
      </c>
      <c r="C42" s="72" t="s">
        <v>170</v>
      </c>
      <c r="D42" s="70" t="s">
        <v>94</v>
      </c>
      <c r="E42" s="70" t="s">
        <v>117</v>
      </c>
      <c r="F42" s="159" t="n">
        <v>21800000</v>
      </c>
      <c r="G42" s="71" t="n">
        <v>45422</v>
      </c>
      <c r="H42" s="74" t="n">
        <v>779</v>
      </c>
      <c r="I42" s="157" t="s">
        <v>2148</v>
      </c>
      <c r="J42" s="160" t="s">
        <v>2149</v>
      </c>
    </row>
    <row r="43" customFormat="false" ht="15" hidden="false" customHeight="false" outlineLevel="0" collapsed="false">
      <c r="A43" s="152" t="s">
        <v>1300</v>
      </c>
      <c r="B43" s="153" t="s">
        <v>1301</v>
      </c>
      <c r="C43" s="153" t="s">
        <v>124</v>
      </c>
      <c r="D43" s="152" t="s">
        <v>94</v>
      </c>
      <c r="E43" s="152" t="s">
        <v>129</v>
      </c>
      <c r="F43" s="154" t="n">
        <v>4800000</v>
      </c>
      <c r="G43" s="155" t="n">
        <v>45423</v>
      </c>
      <c r="H43" s="156" t="n">
        <v>778</v>
      </c>
      <c r="I43" s="157" t="s">
        <v>2148</v>
      </c>
      <c r="J43" s="158" t="s">
        <v>2149</v>
      </c>
    </row>
    <row r="44" customFormat="false" ht="15" hidden="false" customHeight="false" outlineLevel="0" collapsed="false">
      <c r="A44" s="70" t="s">
        <v>283</v>
      </c>
      <c r="B44" s="72" t="s">
        <v>284</v>
      </c>
      <c r="C44" s="72" t="s">
        <v>191</v>
      </c>
      <c r="D44" s="70" t="s">
        <v>104</v>
      </c>
      <c r="E44" s="70" t="s">
        <v>165</v>
      </c>
      <c r="F44" s="159" t="n">
        <v>13200000</v>
      </c>
      <c r="G44" s="71" t="n">
        <v>45424</v>
      </c>
      <c r="H44" s="74" t="n">
        <v>777</v>
      </c>
      <c r="I44" s="157" t="s">
        <v>2148</v>
      </c>
      <c r="J44" s="160" t="s">
        <v>2149</v>
      </c>
    </row>
    <row r="45" customFormat="false" ht="15" hidden="false" customHeight="false" outlineLevel="0" collapsed="false">
      <c r="A45" s="152" t="s">
        <v>789</v>
      </c>
      <c r="B45" s="153" t="s">
        <v>790</v>
      </c>
      <c r="C45" s="153" t="s">
        <v>93</v>
      </c>
      <c r="D45" s="152" t="s">
        <v>104</v>
      </c>
      <c r="E45" s="152" t="s">
        <v>155</v>
      </c>
      <c r="F45" s="154" t="n">
        <v>9700000</v>
      </c>
      <c r="G45" s="155" t="n">
        <v>45426</v>
      </c>
      <c r="H45" s="156" t="n">
        <v>775</v>
      </c>
      <c r="I45" s="157" t="s">
        <v>2148</v>
      </c>
      <c r="J45" s="158" t="s">
        <v>2149</v>
      </c>
    </row>
    <row r="46" customFormat="false" ht="15" hidden="false" customHeight="false" outlineLevel="0" collapsed="false">
      <c r="A46" s="70" t="s">
        <v>1406</v>
      </c>
      <c r="B46" s="72" t="s">
        <v>1407</v>
      </c>
      <c r="C46" s="72" t="s">
        <v>209</v>
      </c>
      <c r="D46" s="70" t="s">
        <v>104</v>
      </c>
      <c r="E46" s="70" t="s">
        <v>214</v>
      </c>
      <c r="F46" s="159" t="n">
        <v>7300000</v>
      </c>
      <c r="G46" s="71" t="n">
        <v>45426</v>
      </c>
      <c r="H46" s="74" t="n">
        <v>775</v>
      </c>
      <c r="I46" s="157" t="s">
        <v>2148</v>
      </c>
      <c r="J46" s="160" t="s">
        <v>2149</v>
      </c>
    </row>
    <row r="47" customFormat="false" ht="15" hidden="false" customHeight="false" outlineLevel="0" collapsed="false">
      <c r="A47" s="152" t="s">
        <v>975</v>
      </c>
      <c r="B47" s="153" t="s">
        <v>976</v>
      </c>
      <c r="C47" s="153" t="s">
        <v>178</v>
      </c>
      <c r="D47" s="152" t="s">
        <v>104</v>
      </c>
      <c r="E47" s="152" t="s">
        <v>214</v>
      </c>
      <c r="F47" s="154" t="n">
        <v>7600000</v>
      </c>
      <c r="G47" s="155" t="n">
        <v>45432</v>
      </c>
      <c r="H47" s="156" t="n">
        <v>769</v>
      </c>
      <c r="I47" s="157" t="s">
        <v>2148</v>
      </c>
      <c r="J47" s="158" t="s">
        <v>2149</v>
      </c>
    </row>
    <row r="48" customFormat="false" ht="15" hidden="false" customHeight="false" outlineLevel="0" collapsed="false">
      <c r="A48" s="70" t="s">
        <v>1418</v>
      </c>
      <c r="B48" s="72" t="s">
        <v>1419</v>
      </c>
      <c r="C48" s="72" t="s">
        <v>191</v>
      </c>
      <c r="D48" s="70" t="s">
        <v>161</v>
      </c>
      <c r="E48" s="70" t="s">
        <v>141</v>
      </c>
      <c r="F48" s="159" t="n">
        <v>12700000</v>
      </c>
      <c r="G48" s="71" t="n">
        <v>45433</v>
      </c>
      <c r="H48" s="74" t="n">
        <v>768</v>
      </c>
      <c r="I48" s="157" t="s">
        <v>2148</v>
      </c>
      <c r="J48" s="160" t="s">
        <v>2149</v>
      </c>
    </row>
    <row r="49" customFormat="false" ht="15" hidden="false" customHeight="false" outlineLevel="0" collapsed="false">
      <c r="A49" s="152" t="s">
        <v>510</v>
      </c>
      <c r="B49" s="153" t="s">
        <v>511</v>
      </c>
      <c r="C49" s="153" t="s">
        <v>170</v>
      </c>
      <c r="D49" s="152" t="s">
        <v>120</v>
      </c>
      <c r="E49" s="152" t="s">
        <v>165</v>
      </c>
      <c r="F49" s="154" t="n">
        <v>7500000</v>
      </c>
      <c r="G49" s="155" t="n">
        <v>45434</v>
      </c>
      <c r="H49" s="156" t="n">
        <v>767</v>
      </c>
      <c r="I49" s="157" t="s">
        <v>2148</v>
      </c>
      <c r="J49" s="158" t="s">
        <v>2149</v>
      </c>
    </row>
    <row r="50" customFormat="false" ht="15" hidden="false" customHeight="false" outlineLevel="0" collapsed="false">
      <c r="A50" s="70" t="s">
        <v>647</v>
      </c>
      <c r="B50" s="72" t="s">
        <v>648</v>
      </c>
      <c r="C50" s="72" t="s">
        <v>209</v>
      </c>
      <c r="D50" s="70" t="s">
        <v>94</v>
      </c>
      <c r="E50" s="70" t="s">
        <v>155</v>
      </c>
      <c r="F50" s="159" t="n">
        <v>4700000</v>
      </c>
      <c r="G50" s="71" t="n">
        <v>45434</v>
      </c>
      <c r="H50" s="74" t="n">
        <v>767</v>
      </c>
      <c r="I50" s="157" t="s">
        <v>2148</v>
      </c>
      <c r="J50" s="160" t="s">
        <v>2149</v>
      </c>
    </row>
    <row r="51" customFormat="false" ht="15" hidden="false" customHeight="false" outlineLevel="0" collapsed="false">
      <c r="A51" s="152" t="s">
        <v>1273</v>
      </c>
      <c r="B51" s="153" t="s">
        <v>1274</v>
      </c>
      <c r="C51" s="153" t="s">
        <v>124</v>
      </c>
      <c r="D51" s="152" t="s">
        <v>143</v>
      </c>
      <c r="E51" s="152" t="s">
        <v>141</v>
      </c>
      <c r="F51" s="154" t="n">
        <v>9600000</v>
      </c>
      <c r="G51" s="155" t="n">
        <v>45434</v>
      </c>
      <c r="H51" s="156" t="n">
        <v>767</v>
      </c>
      <c r="I51" s="157" t="s">
        <v>2148</v>
      </c>
      <c r="J51" s="158" t="s">
        <v>2149</v>
      </c>
    </row>
    <row r="52" customFormat="false" ht="15" hidden="false" customHeight="false" outlineLevel="0" collapsed="false">
      <c r="A52" s="70" t="s">
        <v>1279</v>
      </c>
      <c r="B52" s="72" t="s">
        <v>1280</v>
      </c>
      <c r="C52" s="72" t="s">
        <v>148</v>
      </c>
      <c r="D52" s="70" t="s">
        <v>94</v>
      </c>
      <c r="E52" s="70" t="s">
        <v>239</v>
      </c>
      <c r="F52" s="159" t="n">
        <v>8900000</v>
      </c>
      <c r="G52" s="71" t="n">
        <v>45434</v>
      </c>
      <c r="H52" s="74" t="n">
        <v>767</v>
      </c>
      <c r="I52" s="157" t="s">
        <v>2148</v>
      </c>
      <c r="J52" s="160" t="s">
        <v>2149</v>
      </c>
    </row>
    <row r="53" customFormat="false" ht="15" hidden="false" customHeight="false" outlineLevel="0" collapsed="false">
      <c r="A53" s="152" t="s">
        <v>449</v>
      </c>
      <c r="B53" s="153" t="s">
        <v>450</v>
      </c>
      <c r="C53" s="153" t="s">
        <v>148</v>
      </c>
      <c r="D53" s="152" t="s">
        <v>104</v>
      </c>
      <c r="E53" s="152" t="s">
        <v>155</v>
      </c>
      <c r="F53" s="154" t="n">
        <v>22900000</v>
      </c>
      <c r="G53" s="155" t="n">
        <v>45436</v>
      </c>
      <c r="H53" s="156" t="n">
        <v>765</v>
      </c>
      <c r="I53" s="157" t="s">
        <v>2148</v>
      </c>
      <c r="J53" s="158" t="s">
        <v>2149</v>
      </c>
    </row>
    <row r="54" customFormat="false" ht="15" hidden="false" customHeight="false" outlineLevel="0" collapsed="false">
      <c r="A54" s="70" t="s">
        <v>1106</v>
      </c>
      <c r="B54" s="72" t="s">
        <v>573</v>
      </c>
      <c r="C54" s="72" t="s">
        <v>124</v>
      </c>
      <c r="D54" s="70" t="s">
        <v>94</v>
      </c>
      <c r="E54" s="70" t="s">
        <v>136</v>
      </c>
      <c r="F54" s="159" t="n">
        <v>15500000</v>
      </c>
      <c r="G54" s="71" t="n">
        <v>45438</v>
      </c>
      <c r="H54" s="74" t="n">
        <v>763</v>
      </c>
      <c r="I54" s="157" t="s">
        <v>2148</v>
      </c>
      <c r="J54" s="160" t="s">
        <v>2149</v>
      </c>
    </row>
    <row r="55" customFormat="false" ht="15" hidden="false" customHeight="false" outlineLevel="0" collapsed="false">
      <c r="A55" s="152" t="s">
        <v>1177</v>
      </c>
      <c r="B55" s="153" t="s">
        <v>1178</v>
      </c>
      <c r="C55" s="153" t="s">
        <v>112</v>
      </c>
      <c r="D55" s="152" t="s">
        <v>161</v>
      </c>
      <c r="E55" s="152" t="s">
        <v>214</v>
      </c>
      <c r="F55" s="154" t="n">
        <v>13500000</v>
      </c>
      <c r="G55" s="155" t="n">
        <v>45438</v>
      </c>
      <c r="H55" s="156" t="n">
        <v>763</v>
      </c>
      <c r="I55" s="157" t="s">
        <v>2148</v>
      </c>
      <c r="J55" s="158" t="s">
        <v>2149</v>
      </c>
    </row>
    <row r="56" customFormat="false" ht="15" hidden="false" customHeight="false" outlineLevel="0" collapsed="false">
      <c r="A56" s="70" t="s">
        <v>1480</v>
      </c>
      <c r="B56" s="72" t="s">
        <v>1481</v>
      </c>
      <c r="C56" s="72" t="s">
        <v>124</v>
      </c>
      <c r="D56" s="70" t="s">
        <v>161</v>
      </c>
      <c r="E56" s="70" t="s">
        <v>165</v>
      </c>
      <c r="F56" s="159" t="n">
        <v>17800000</v>
      </c>
      <c r="G56" s="71" t="n">
        <v>45438</v>
      </c>
      <c r="H56" s="74" t="n">
        <v>763</v>
      </c>
      <c r="I56" s="157" t="s">
        <v>2148</v>
      </c>
      <c r="J56" s="160" t="s">
        <v>2149</v>
      </c>
    </row>
    <row r="57" customFormat="false" ht="15" hidden="false" customHeight="false" outlineLevel="0" collapsed="false">
      <c r="A57" s="152" t="s">
        <v>1539</v>
      </c>
      <c r="B57" s="153" t="s">
        <v>1540</v>
      </c>
      <c r="C57" s="153" t="s">
        <v>191</v>
      </c>
      <c r="D57" s="152" t="s">
        <v>120</v>
      </c>
      <c r="E57" s="152" t="s">
        <v>165</v>
      </c>
      <c r="F57" s="154" t="n">
        <v>12700000</v>
      </c>
      <c r="G57" s="155" t="n">
        <v>45438</v>
      </c>
      <c r="H57" s="156" t="n">
        <v>763</v>
      </c>
      <c r="I57" s="157" t="s">
        <v>2148</v>
      </c>
      <c r="J57" s="158" t="s">
        <v>2149</v>
      </c>
    </row>
    <row r="58" customFormat="false" ht="15" hidden="false" customHeight="false" outlineLevel="0" collapsed="false">
      <c r="A58" s="70" t="s">
        <v>533</v>
      </c>
      <c r="B58" s="72" t="s">
        <v>534</v>
      </c>
      <c r="C58" s="72" t="s">
        <v>148</v>
      </c>
      <c r="D58" s="70" t="s">
        <v>143</v>
      </c>
      <c r="E58" s="70" t="s">
        <v>239</v>
      </c>
      <c r="F58" s="159" t="n">
        <v>5000000</v>
      </c>
      <c r="G58" s="71" t="n">
        <v>45439</v>
      </c>
      <c r="H58" s="74" t="n">
        <v>762</v>
      </c>
      <c r="I58" s="157" t="s">
        <v>2148</v>
      </c>
      <c r="J58" s="160" t="s">
        <v>2149</v>
      </c>
    </row>
    <row r="59" customFormat="false" ht="15" hidden="false" customHeight="false" outlineLevel="0" collapsed="false">
      <c r="A59" s="152" t="s">
        <v>1528</v>
      </c>
      <c r="B59" s="153" t="s">
        <v>798</v>
      </c>
      <c r="C59" s="153" t="s">
        <v>178</v>
      </c>
      <c r="D59" s="152" t="s">
        <v>120</v>
      </c>
      <c r="E59" s="152" t="s">
        <v>89</v>
      </c>
      <c r="F59" s="154" t="n">
        <v>13300000</v>
      </c>
      <c r="G59" s="155" t="n">
        <v>45440</v>
      </c>
      <c r="H59" s="156" t="n">
        <v>761</v>
      </c>
      <c r="I59" s="157" t="s">
        <v>2148</v>
      </c>
      <c r="J59" s="158" t="s">
        <v>2149</v>
      </c>
    </row>
    <row r="60" customFormat="false" ht="15" hidden="false" customHeight="false" outlineLevel="0" collapsed="false">
      <c r="A60" s="70" t="s">
        <v>1560</v>
      </c>
      <c r="B60" s="72" t="s">
        <v>1201</v>
      </c>
      <c r="C60" s="72" t="s">
        <v>142</v>
      </c>
      <c r="D60" s="70" t="s">
        <v>94</v>
      </c>
      <c r="E60" s="70" t="s">
        <v>136</v>
      </c>
      <c r="F60" s="159" t="n">
        <v>4600000</v>
      </c>
      <c r="G60" s="71" t="n">
        <v>45440</v>
      </c>
      <c r="H60" s="74" t="n">
        <v>761</v>
      </c>
      <c r="I60" s="157" t="s">
        <v>2148</v>
      </c>
      <c r="J60" s="160" t="s">
        <v>2149</v>
      </c>
    </row>
    <row r="61" customFormat="false" ht="15" hidden="false" customHeight="false" outlineLevel="0" collapsed="false">
      <c r="A61" s="152" t="s">
        <v>806</v>
      </c>
      <c r="B61" s="153" t="s">
        <v>807</v>
      </c>
      <c r="C61" s="153" t="s">
        <v>93</v>
      </c>
      <c r="D61" s="152" t="s">
        <v>104</v>
      </c>
      <c r="E61" s="152" t="s">
        <v>117</v>
      </c>
      <c r="F61" s="154" t="n">
        <v>24200000</v>
      </c>
      <c r="G61" s="155" t="n">
        <v>45442</v>
      </c>
      <c r="H61" s="156" t="n">
        <v>759</v>
      </c>
      <c r="I61" s="157" t="s">
        <v>2148</v>
      </c>
      <c r="J61" s="158" t="s">
        <v>2149</v>
      </c>
    </row>
    <row r="62" customFormat="false" ht="15" hidden="false" customHeight="false" outlineLevel="0" collapsed="false">
      <c r="A62" s="70" t="s">
        <v>823</v>
      </c>
      <c r="B62" s="72" t="s">
        <v>824</v>
      </c>
      <c r="C62" s="72" t="s">
        <v>93</v>
      </c>
      <c r="D62" s="70" t="s">
        <v>143</v>
      </c>
      <c r="E62" s="70" t="s">
        <v>108</v>
      </c>
      <c r="F62" s="159" t="n">
        <v>12400000</v>
      </c>
      <c r="G62" s="71" t="n">
        <v>45443</v>
      </c>
      <c r="H62" s="74" t="n">
        <v>758</v>
      </c>
      <c r="I62" s="157" t="s">
        <v>2148</v>
      </c>
      <c r="J62" s="160" t="s">
        <v>2149</v>
      </c>
    </row>
    <row r="63" customFormat="false" ht="15" hidden="false" customHeight="false" outlineLevel="0" collapsed="false">
      <c r="A63" s="152" t="s">
        <v>1033</v>
      </c>
      <c r="B63" s="153" t="s">
        <v>639</v>
      </c>
      <c r="C63" s="153" t="s">
        <v>112</v>
      </c>
      <c r="D63" s="152" t="s">
        <v>143</v>
      </c>
      <c r="E63" s="152" t="s">
        <v>136</v>
      </c>
      <c r="F63" s="154" t="n">
        <v>11700000</v>
      </c>
      <c r="G63" s="155" t="n">
        <v>45443</v>
      </c>
      <c r="H63" s="156" t="n">
        <v>758</v>
      </c>
      <c r="I63" s="157" t="s">
        <v>2148</v>
      </c>
      <c r="J63" s="158" t="s">
        <v>2149</v>
      </c>
    </row>
    <row r="64" customFormat="false" ht="15" hidden="false" customHeight="false" outlineLevel="0" collapsed="false">
      <c r="A64" s="70" t="s">
        <v>1200</v>
      </c>
      <c r="B64" s="72" t="s">
        <v>1201</v>
      </c>
      <c r="C64" s="72" t="s">
        <v>148</v>
      </c>
      <c r="D64" s="70" t="s">
        <v>94</v>
      </c>
      <c r="E64" s="70" t="s">
        <v>99</v>
      </c>
      <c r="F64" s="159" t="n">
        <v>7200000</v>
      </c>
      <c r="G64" s="71" t="n">
        <v>45443</v>
      </c>
      <c r="H64" s="74" t="n">
        <v>758</v>
      </c>
      <c r="I64" s="157" t="s">
        <v>2148</v>
      </c>
      <c r="J64" s="160" t="s">
        <v>2149</v>
      </c>
    </row>
    <row r="65" customFormat="false" ht="15" hidden="false" customHeight="false" outlineLevel="0" collapsed="false">
      <c r="A65" s="152" t="s">
        <v>1460</v>
      </c>
      <c r="B65" s="153" t="s">
        <v>1461</v>
      </c>
      <c r="C65" s="153" t="s">
        <v>170</v>
      </c>
      <c r="D65" s="152" t="s">
        <v>94</v>
      </c>
      <c r="E65" s="152" t="s">
        <v>214</v>
      </c>
      <c r="F65" s="154" t="n">
        <v>12200000</v>
      </c>
      <c r="G65" s="155" t="n">
        <v>45446</v>
      </c>
      <c r="H65" s="156" t="n">
        <v>755</v>
      </c>
      <c r="I65" s="157" t="s">
        <v>2148</v>
      </c>
      <c r="J65" s="158" t="s">
        <v>2149</v>
      </c>
    </row>
    <row r="66" customFormat="false" ht="15" hidden="false" customHeight="false" outlineLevel="0" collapsed="false">
      <c r="A66" s="70" t="s">
        <v>319</v>
      </c>
      <c r="B66" s="72" t="s">
        <v>320</v>
      </c>
      <c r="C66" s="72" t="s">
        <v>103</v>
      </c>
      <c r="D66" s="70" t="s">
        <v>104</v>
      </c>
      <c r="E66" s="70" t="s">
        <v>89</v>
      </c>
      <c r="F66" s="159" t="n">
        <v>9900000</v>
      </c>
      <c r="G66" s="71" t="n">
        <v>45447</v>
      </c>
      <c r="H66" s="74" t="n">
        <v>754</v>
      </c>
      <c r="I66" s="157" t="s">
        <v>2148</v>
      </c>
      <c r="J66" s="160" t="s">
        <v>2149</v>
      </c>
    </row>
    <row r="67" customFormat="false" ht="15" hidden="false" customHeight="false" outlineLevel="0" collapsed="false">
      <c r="A67" s="152" t="s">
        <v>1081</v>
      </c>
      <c r="B67" s="153" t="s">
        <v>1082</v>
      </c>
      <c r="C67" s="153" t="s">
        <v>209</v>
      </c>
      <c r="D67" s="152" t="s">
        <v>161</v>
      </c>
      <c r="E67" s="152" t="s">
        <v>155</v>
      </c>
      <c r="F67" s="154" t="n">
        <v>9100000</v>
      </c>
      <c r="G67" s="155" t="n">
        <v>45449</v>
      </c>
      <c r="H67" s="156" t="n">
        <v>752</v>
      </c>
      <c r="I67" s="157" t="s">
        <v>2148</v>
      </c>
      <c r="J67" s="158" t="s">
        <v>2149</v>
      </c>
    </row>
    <row r="68" customFormat="false" ht="15" hidden="false" customHeight="false" outlineLevel="0" collapsed="false">
      <c r="A68" s="70" t="s">
        <v>1133</v>
      </c>
      <c r="B68" s="72" t="s">
        <v>1134</v>
      </c>
      <c r="C68" s="72" t="s">
        <v>112</v>
      </c>
      <c r="D68" s="70" t="s">
        <v>161</v>
      </c>
      <c r="E68" s="70" t="s">
        <v>89</v>
      </c>
      <c r="F68" s="159" t="n">
        <v>12200000</v>
      </c>
      <c r="G68" s="71" t="n">
        <v>45449</v>
      </c>
      <c r="H68" s="74" t="n">
        <v>752</v>
      </c>
      <c r="I68" s="157" t="s">
        <v>2148</v>
      </c>
      <c r="J68" s="160" t="s">
        <v>2149</v>
      </c>
    </row>
    <row r="69" customFormat="false" ht="15" hidden="false" customHeight="false" outlineLevel="0" collapsed="false">
      <c r="A69" s="152" t="s">
        <v>1483</v>
      </c>
      <c r="B69" s="153" t="s">
        <v>1484</v>
      </c>
      <c r="C69" s="153" t="s">
        <v>148</v>
      </c>
      <c r="D69" s="152" t="s">
        <v>143</v>
      </c>
      <c r="E69" s="152" t="s">
        <v>117</v>
      </c>
      <c r="F69" s="154" t="n">
        <v>13900000</v>
      </c>
      <c r="G69" s="155" t="n">
        <v>45449</v>
      </c>
      <c r="H69" s="156" t="n">
        <v>752</v>
      </c>
      <c r="I69" s="157" t="s">
        <v>2148</v>
      </c>
      <c r="J69" s="158" t="s">
        <v>2149</v>
      </c>
    </row>
    <row r="70" customFormat="false" ht="15" hidden="false" customHeight="false" outlineLevel="0" collapsed="false">
      <c r="A70" s="70" t="s">
        <v>1013</v>
      </c>
      <c r="B70" s="72" t="s">
        <v>1014</v>
      </c>
      <c r="C70" s="72" t="s">
        <v>178</v>
      </c>
      <c r="D70" s="70" t="s">
        <v>161</v>
      </c>
      <c r="E70" s="70" t="s">
        <v>239</v>
      </c>
      <c r="F70" s="159" t="n">
        <v>16200000</v>
      </c>
      <c r="G70" s="71" t="n">
        <v>45450</v>
      </c>
      <c r="H70" s="74" t="n">
        <v>751</v>
      </c>
      <c r="I70" s="157" t="s">
        <v>2148</v>
      </c>
      <c r="J70" s="160" t="s">
        <v>2149</v>
      </c>
    </row>
    <row r="71" customFormat="false" ht="15" hidden="false" customHeight="false" outlineLevel="0" collapsed="false">
      <c r="A71" s="152" t="s">
        <v>1117</v>
      </c>
      <c r="B71" s="153" t="s">
        <v>508</v>
      </c>
      <c r="C71" s="153" t="s">
        <v>112</v>
      </c>
      <c r="D71" s="152" t="s">
        <v>94</v>
      </c>
      <c r="E71" s="152" t="s">
        <v>165</v>
      </c>
      <c r="F71" s="154" t="n">
        <v>7400000</v>
      </c>
      <c r="G71" s="155" t="n">
        <v>45450</v>
      </c>
      <c r="H71" s="156" t="n">
        <v>751</v>
      </c>
      <c r="I71" s="157" t="s">
        <v>2148</v>
      </c>
      <c r="J71" s="158" t="s">
        <v>2149</v>
      </c>
    </row>
    <row r="72" customFormat="false" ht="15" hidden="false" customHeight="false" outlineLevel="0" collapsed="false">
      <c r="A72" s="70" t="s">
        <v>655</v>
      </c>
      <c r="B72" s="72" t="s">
        <v>656</v>
      </c>
      <c r="C72" s="72" t="s">
        <v>103</v>
      </c>
      <c r="D72" s="70" t="s">
        <v>161</v>
      </c>
      <c r="E72" s="70" t="s">
        <v>165</v>
      </c>
      <c r="F72" s="159" t="n">
        <v>14700000</v>
      </c>
      <c r="G72" s="71" t="n">
        <v>45451</v>
      </c>
      <c r="H72" s="74" t="n">
        <v>750</v>
      </c>
      <c r="I72" s="157" t="s">
        <v>2148</v>
      </c>
      <c r="J72" s="160" t="s">
        <v>2149</v>
      </c>
    </row>
    <row r="73" customFormat="false" ht="15" hidden="false" customHeight="false" outlineLevel="0" collapsed="false">
      <c r="A73" s="152" t="s">
        <v>902</v>
      </c>
      <c r="B73" s="153" t="s">
        <v>903</v>
      </c>
      <c r="C73" s="153" t="s">
        <v>148</v>
      </c>
      <c r="D73" s="152" t="s">
        <v>120</v>
      </c>
      <c r="E73" s="152" t="s">
        <v>89</v>
      </c>
      <c r="F73" s="154" t="n">
        <v>15100000</v>
      </c>
      <c r="G73" s="155" t="n">
        <v>45451</v>
      </c>
      <c r="H73" s="156" t="n">
        <v>750</v>
      </c>
      <c r="I73" s="157" t="s">
        <v>2148</v>
      </c>
      <c r="J73" s="158" t="s">
        <v>2149</v>
      </c>
    </row>
    <row r="74" customFormat="false" ht="15" hidden="false" customHeight="false" outlineLevel="0" collapsed="false">
      <c r="A74" s="70" t="s">
        <v>1114</v>
      </c>
      <c r="B74" s="72" t="s">
        <v>1115</v>
      </c>
      <c r="C74" s="72" t="s">
        <v>112</v>
      </c>
      <c r="D74" s="70" t="s">
        <v>143</v>
      </c>
      <c r="E74" s="70" t="s">
        <v>89</v>
      </c>
      <c r="F74" s="159" t="n">
        <v>12800000</v>
      </c>
      <c r="G74" s="71" t="n">
        <v>45451</v>
      </c>
      <c r="H74" s="74" t="n">
        <v>750</v>
      </c>
      <c r="I74" s="157" t="s">
        <v>2148</v>
      </c>
      <c r="J74" s="160" t="s">
        <v>2149</v>
      </c>
    </row>
    <row r="75" customFormat="false" ht="15" hidden="false" customHeight="false" outlineLevel="0" collapsed="false">
      <c r="A75" s="152" t="s">
        <v>1282</v>
      </c>
      <c r="B75" s="153" t="s">
        <v>1283</v>
      </c>
      <c r="C75" s="153" t="s">
        <v>170</v>
      </c>
      <c r="D75" s="152" t="s">
        <v>143</v>
      </c>
      <c r="E75" s="152" t="s">
        <v>129</v>
      </c>
      <c r="F75" s="154" t="n">
        <v>15400000</v>
      </c>
      <c r="G75" s="155" t="n">
        <v>45451</v>
      </c>
      <c r="H75" s="156" t="n">
        <v>750</v>
      </c>
      <c r="I75" s="157" t="s">
        <v>2148</v>
      </c>
      <c r="J75" s="158" t="s">
        <v>2149</v>
      </c>
    </row>
    <row r="76" customFormat="false" ht="15" hidden="false" customHeight="false" outlineLevel="0" collapsed="false">
      <c r="A76" s="70" t="s">
        <v>1060</v>
      </c>
      <c r="B76" s="72" t="s">
        <v>1061</v>
      </c>
      <c r="C76" s="72" t="s">
        <v>148</v>
      </c>
      <c r="D76" s="70" t="s">
        <v>161</v>
      </c>
      <c r="E76" s="70" t="s">
        <v>136</v>
      </c>
      <c r="F76" s="159" t="n">
        <v>30700000</v>
      </c>
      <c r="G76" s="71" t="n">
        <v>45453</v>
      </c>
      <c r="H76" s="74" t="n">
        <v>748</v>
      </c>
      <c r="I76" s="157" t="s">
        <v>2148</v>
      </c>
      <c r="J76" s="160" t="s">
        <v>2149</v>
      </c>
    </row>
    <row r="77" customFormat="false" ht="15" hidden="false" customHeight="false" outlineLevel="0" collapsed="false">
      <c r="A77" s="152" t="s">
        <v>661</v>
      </c>
      <c r="B77" s="153" t="s">
        <v>662</v>
      </c>
      <c r="C77" s="153" t="s">
        <v>93</v>
      </c>
      <c r="D77" s="152" t="s">
        <v>104</v>
      </c>
      <c r="E77" s="152" t="s">
        <v>147</v>
      </c>
      <c r="F77" s="154" t="n">
        <v>5300000</v>
      </c>
      <c r="G77" s="155" t="n">
        <v>45454</v>
      </c>
      <c r="H77" s="156" t="n">
        <v>747</v>
      </c>
      <c r="I77" s="157" t="s">
        <v>2148</v>
      </c>
      <c r="J77" s="158" t="s">
        <v>2149</v>
      </c>
    </row>
    <row r="78" customFormat="false" ht="15" hidden="false" customHeight="false" outlineLevel="0" collapsed="false">
      <c r="A78" s="70" t="s">
        <v>1197</v>
      </c>
      <c r="B78" s="72" t="s">
        <v>1198</v>
      </c>
      <c r="C78" s="72" t="s">
        <v>148</v>
      </c>
      <c r="D78" s="70" t="s">
        <v>120</v>
      </c>
      <c r="E78" s="70" t="s">
        <v>165</v>
      </c>
      <c r="F78" s="159" t="n">
        <v>15300000</v>
      </c>
      <c r="G78" s="71" t="n">
        <v>45454</v>
      </c>
      <c r="H78" s="74" t="n">
        <v>747</v>
      </c>
      <c r="I78" s="157" t="s">
        <v>2148</v>
      </c>
      <c r="J78" s="160" t="s">
        <v>2149</v>
      </c>
    </row>
    <row r="79" customFormat="false" ht="15" hidden="false" customHeight="false" outlineLevel="0" collapsed="false">
      <c r="A79" s="152" t="s">
        <v>596</v>
      </c>
      <c r="B79" s="153" t="s">
        <v>597</v>
      </c>
      <c r="C79" s="153" t="s">
        <v>124</v>
      </c>
      <c r="D79" s="152" t="s">
        <v>104</v>
      </c>
      <c r="E79" s="152" t="s">
        <v>129</v>
      </c>
      <c r="F79" s="154" t="n">
        <v>14000000</v>
      </c>
      <c r="G79" s="155" t="n">
        <v>45456</v>
      </c>
      <c r="H79" s="156" t="n">
        <v>745</v>
      </c>
      <c r="I79" s="157" t="s">
        <v>2148</v>
      </c>
      <c r="J79" s="158" t="s">
        <v>2149</v>
      </c>
    </row>
    <row r="80" customFormat="false" ht="15" hidden="false" customHeight="false" outlineLevel="0" collapsed="false">
      <c r="A80" s="70" t="s">
        <v>482</v>
      </c>
      <c r="B80" s="72" t="s">
        <v>483</v>
      </c>
      <c r="C80" s="72" t="s">
        <v>170</v>
      </c>
      <c r="D80" s="70" t="s">
        <v>104</v>
      </c>
      <c r="E80" s="70" t="s">
        <v>147</v>
      </c>
      <c r="F80" s="159" t="n">
        <v>12400000</v>
      </c>
      <c r="G80" s="71" t="n">
        <v>45457</v>
      </c>
      <c r="H80" s="74" t="n">
        <v>744</v>
      </c>
      <c r="I80" s="157" t="s">
        <v>2148</v>
      </c>
      <c r="J80" s="160" t="s">
        <v>2149</v>
      </c>
    </row>
    <row r="81" customFormat="false" ht="15" hidden="false" customHeight="false" outlineLevel="0" collapsed="false">
      <c r="A81" s="152" t="s">
        <v>259</v>
      </c>
      <c r="B81" s="153" t="s">
        <v>260</v>
      </c>
      <c r="C81" s="153" t="s">
        <v>142</v>
      </c>
      <c r="D81" s="152" t="s">
        <v>143</v>
      </c>
      <c r="E81" s="152" t="s">
        <v>155</v>
      </c>
      <c r="F81" s="154" t="n">
        <v>33700000</v>
      </c>
      <c r="G81" s="155" t="n">
        <v>45458</v>
      </c>
      <c r="H81" s="156" t="n">
        <v>743</v>
      </c>
      <c r="I81" s="157" t="s">
        <v>2148</v>
      </c>
      <c r="J81" s="158" t="s">
        <v>2149</v>
      </c>
    </row>
    <row r="82" customFormat="false" ht="15" hidden="false" customHeight="false" outlineLevel="0" collapsed="false">
      <c r="A82" s="70" t="s">
        <v>617</v>
      </c>
      <c r="B82" s="72" t="s">
        <v>618</v>
      </c>
      <c r="C82" s="72" t="s">
        <v>142</v>
      </c>
      <c r="D82" s="70" t="s">
        <v>161</v>
      </c>
      <c r="E82" s="70" t="s">
        <v>108</v>
      </c>
      <c r="F82" s="159" t="n">
        <v>27600000</v>
      </c>
      <c r="G82" s="71" t="n">
        <v>45459</v>
      </c>
      <c r="H82" s="74" t="n">
        <v>742</v>
      </c>
      <c r="I82" s="157" t="s">
        <v>2148</v>
      </c>
      <c r="J82" s="160" t="s">
        <v>2149</v>
      </c>
    </row>
    <row r="83" customFormat="false" ht="15" hidden="false" customHeight="false" outlineLevel="0" collapsed="false">
      <c r="A83" s="152" t="s">
        <v>156</v>
      </c>
      <c r="B83" s="153" t="s">
        <v>157</v>
      </c>
      <c r="C83" s="153" t="s">
        <v>103</v>
      </c>
      <c r="D83" s="152" t="s">
        <v>161</v>
      </c>
      <c r="E83" s="152" t="s">
        <v>147</v>
      </c>
      <c r="F83" s="154" t="n">
        <v>27000000</v>
      </c>
      <c r="G83" s="155" t="n">
        <v>45461</v>
      </c>
      <c r="H83" s="156" t="n">
        <v>740</v>
      </c>
      <c r="I83" s="157" t="s">
        <v>2148</v>
      </c>
      <c r="J83" s="158" t="s">
        <v>2149</v>
      </c>
    </row>
    <row r="84" customFormat="false" ht="15" hidden="false" customHeight="false" outlineLevel="0" collapsed="false">
      <c r="A84" s="70" t="s">
        <v>1393</v>
      </c>
      <c r="B84" s="72" t="s">
        <v>1394</v>
      </c>
      <c r="C84" s="72" t="s">
        <v>103</v>
      </c>
      <c r="D84" s="70" t="s">
        <v>94</v>
      </c>
      <c r="E84" s="70" t="s">
        <v>239</v>
      </c>
      <c r="F84" s="159" t="n">
        <v>10800000</v>
      </c>
      <c r="G84" s="71" t="n">
        <v>45461</v>
      </c>
      <c r="H84" s="74" t="n">
        <v>740</v>
      </c>
      <c r="I84" s="157" t="s">
        <v>2148</v>
      </c>
      <c r="J84" s="160" t="s">
        <v>2149</v>
      </c>
    </row>
    <row r="85" customFormat="false" ht="15" hidden="false" customHeight="false" outlineLevel="0" collapsed="false">
      <c r="A85" s="152" t="s">
        <v>413</v>
      </c>
      <c r="B85" s="153" t="s">
        <v>414</v>
      </c>
      <c r="C85" s="153" t="s">
        <v>103</v>
      </c>
      <c r="D85" s="152" t="s">
        <v>143</v>
      </c>
      <c r="E85" s="152" t="s">
        <v>214</v>
      </c>
      <c r="F85" s="154" t="n">
        <v>34500000</v>
      </c>
      <c r="G85" s="155" t="n">
        <v>45462</v>
      </c>
      <c r="H85" s="156" t="n">
        <v>739</v>
      </c>
      <c r="I85" s="157" t="s">
        <v>2148</v>
      </c>
      <c r="J85" s="158" t="s">
        <v>2149</v>
      </c>
    </row>
    <row r="86" customFormat="false" ht="15" hidden="false" customHeight="false" outlineLevel="0" collapsed="false">
      <c r="A86" s="70" t="s">
        <v>331</v>
      </c>
      <c r="B86" s="72" t="s">
        <v>332</v>
      </c>
      <c r="C86" s="72" t="s">
        <v>112</v>
      </c>
      <c r="D86" s="70" t="s">
        <v>94</v>
      </c>
      <c r="E86" s="70" t="s">
        <v>89</v>
      </c>
      <c r="F86" s="159" t="n">
        <v>9100000</v>
      </c>
      <c r="G86" s="71" t="n">
        <v>45463</v>
      </c>
      <c r="H86" s="74" t="n">
        <v>738</v>
      </c>
      <c r="I86" s="157" t="s">
        <v>2148</v>
      </c>
      <c r="J86" s="160" t="s">
        <v>2149</v>
      </c>
    </row>
    <row r="87" customFormat="false" ht="15" hidden="false" customHeight="false" outlineLevel="0" collapsed="false">
      <c r="A87" s="152" t="s">
        <v>882</v>
      </c>
      <c r="B87" s="153" t="s">
        <v>883</v>
      </c>
      <c r="C87" s="153" t="s">
        <v>148</v>
      </c>
      <c r="D87" s="152" t="s">
        <v>104</v>
      </c>
      <c r="E87" s="152" t="s">
        <v>214</v>
      </c>
      <c r="F87" s="154" t="n">
        <v>5500000</v>
      </c>
      <c r="G87" s="155" t="n">
        <v>45463</v>
      </c>
      <c r="H87" s="156" t="n">
        <v>738</v>
      </c>
      <c r="I87" s="157" t="s">
        <v>2148</v>
      </c>
      <c r="J87" s="158" t="s">
        <v>2149</v>
      </c>
    </row>
    <row r="88" customFormat="false" ht="15" hidden="false" customHeight="false" outlineLevel="0" collapsed="false">
      <c r="A88" s="70" t="s">
        <v>561</v>
      </c>
      <c r="B88" s="72" t="s">
        <v>562</v>
      </c>
      <c r="C88" s="72" t="s">
        <v>191</v>
      </c>
      <c r="D88" s="70" t="s">
        <v>143</v>
      </c>
      <c r="E88" s="70" t="s">
        <v>117</v>
      </c>
      <c r="F88" s="159" t="n">
        <v>10000000</v>
      </c>
      <c r="G88" s="71" t="n">
        <v>45464</v>
      </c>
      <c r="H88" s="74" t="n">
        <v>737</v>
      </c>
      <c r="I88" s="157" t="s">
        <v>2148</v>
      </c>
      <c r="J88" s="160" t="s">
        <v>2149</v>
      </c>
    </row>
    <row r="89" customFormat="false" ht="15" hidden="false" customHeight="false" outlineLevel="0" collapsed="false">
      <c r="A89" s="152" t="s">
        <v>602</v>
      </c>
      <c r="B89" s="153" t="s">
        <v>603</v>
      </c>
      <c r="C89" s="153" t="s">
        <v>209</v>
      </c>
      <c r="D89" s="152" t="s">
        <v>104</v>
      </c>
      <c r="E89" s="152" t="s">
        <v>136</v>
      </c>
      <c r="F89" s="154" t="n">
        <v>7900000</v>
      </c>
      <c r="G89" s="155" t="n">
        <v>45464</v>
      </c>
      <c r="H89" s="156" t="n">
        <v>737</v>
      </c>
      <c r="I89" s="157" t="s">
        <v>2148</v>
      </c>
      <c r="J89" s="158" t="s">
        <v>2149</v>
      </c>
    </row>
    <row r="90" customFormat="false" ht="15" hidden="false" customHeight="false" outlineLevel="0" collapsed="false">
      <c r="A90" s="70" t="s">
        <v>522</v>
      </c>
      <c r="B90" s="72" t="s">
        <v>523</v>
      </c>
      <c r="C90" s="72" t="s">
        <v>93</v>
      </c>
      <c r="D90" s="70" t="s">
        <v>104</v>
      </c>
      <c r="E90" s="70" t="s">
        <v>147</v>
      </c>
      <c r="F90" s="159" t="n">
        <v>30700000</v>
      </c>
      <c r="G90" s="71" t="n">
        <v>45465</v>
      </c>
      <c r="H90" s="74" t="n">
        <v>736</v>
      </c>
      <c r="I90" s="157" t="s">
        <v>2148</v>
      </c>
      <c r="J90" s="160" t="s">
        <v>2149</v>
      </c>
    </row>
    <row r="91" customFormat="false" ht="15" hidden="false" customHeight="false" outlineLevel="0" collapsed="false">
      <c r="A91" s="152" t="s">
        <v>876</v>
      </c>
      <c r="B91" s="153" t="s">
        <v>877</v>
      </c>
      <c r="C91" s="153" t="s">
        <v>170</v>
      </c>
      <c r="D91" s="152" t="s">
        <v>94</v>
      </c>
      <c r="E91" s="152" t="s">
        <v>155</v>
      </c>
      <c r="F91" s="154" t="n">
        <v>4500000</v>
      </c>
      <c r="G91" s="155" t="n">
        <v>45466</v>
      </c>
      <c r="H91" s="156" t="n">
        <v>735</v>
      </c>
      <c r="I91" s="157" t="s">
        <v>2148</v>
      </c>
      <c r="J91" s="158" t="s">
        <v>2149</v>
      </c>
    </row>
    <row r="92" customFormat="false" ht="15" hidden="false" customHeight="false" outlineLevel="0" collapsed="false">
      <c r="A92" s="70" t="s">
        <v>1206</v>
      </c>
      <c r="B92" s="72" t="s">
        <v>1207</v>
      </c>
      <c r="C92" s="72" t="s">
        <v>148</v>
      </c>
      <c r="D92" s="70" t="s">
        <v>120</v>
      </c>
      <c r="E92" s="70" t="s">
        <v>129</v>
      </c>
      <c r="F92" s="159" t="n">
        <v>30600000</v>
      </c>
      <c r="G92" s="71" t="n">
        <v>45468</v>
      </c>
      <c r="H92" s="74" t="n">
        <v>733</v>
      </c>
      <c r="I92" s="157" t="s">
        <v>2148</v>
      </c>
      <c r="J92" s="160" t="s">
        <v>2149</v>
      </c>
    </row>
    <row r="93" customFormat="false" ht="15" hidden="false" customHeight="false" outlineLevel="0" collapsed="false">
      <c r="A93" s="152" t="s">
        <v>253</v>
      </c>
      <c r="B93" s="153" t="s">
        <v>254</v>
      </c>
      <c r="C93" s="153" t="s">
        <v>124</v>
      </c>
      <c r="D93" s="152" t="s">
        <v>161</v>
      </c>
      <c r="E93" s="152" t="s">
        <v>117</v>
      </c>
      <c r="F93" s="154" t="n">
        <v>13900000</v>
      </c>
      <c r="G93" s="155" t="n">
        <v>45469</v>
      </c>
      <c r="H93" s="156" t="n">
        <v>732</v>
      </c>
      <c r="I93" s="157" t="s">
        <v>2148</v>
      </c>
      <c r="J93" s="158" t="s">
        <v>2149</v>
      </c>
    </row>
    <row r="94" customFormat="false" ht="15" hidden="false" customHeight="false" outlineLevel="0" collapsed="false">
      <c r="A94" s="70" t="s">
        <v>763</v>
      </c>
      <c r="B94" s="72" t="s">
        <v>764</v>
      </c>
      <c r="C94" s="72" t="s">
        <v>124</v>
      </c>
      <c r="D94" s="70" t="s">
        <v>161</v>
      </c>
      <c r="E94" s="70" t="s">
        <v>136</v>
      </c>
      <c r="F94" s="159" t="n">
        <v>6000000</v>
      </c>
      <c r="G94" s="71" t="n">
        <v>45469</v>
      </c>
      <c r="H94" s="74" t="n">
        <v>732</v>
      </c>
      <c r="I94" s="157" t="s">
        <v>2148</v>
      </c>
      <c r="J94" s="160" t="s">
        <v>2149</v>
      </c>
    </row>
    <row r="95" customFormat="false" ht="15" hidden="false" customHeight="false" outlineLevel="0" collapsed="false">
      <c r="A95" s="152" t="s">
        <v>740</v>
      </c>
      <c r="B95" s="153" t="s">
        <v>191</v>
      </c>
      <c r="C95" s="153" t="s">
        <v>178</v>
      </c>
      <c r="D95" s="152" t="s">
        <v>94</v>
      </c>
      <c r="E95" s="152" t="s">
        <v>136</v>
      </c>
      <c r="F95" s="154" t="n">
        <v>14300000</v>
      </c>
      <c r="G95" s="155" t="n">
        <v>45470</v>
      </c>
      <c r="H95" s="156" t="n">
        <v>731</v>
      </c>
      <c r="I95" s="157" t="s">
        <v>2148</v>
      </c>
      <c r="J95" s="158" t="s">
        <v>2149</v>
      </c>
    </row>
    <row r="96" customFormat="false" ht="15" hidden="false" customHeight="false" outlineLevel="0" collapsed="false">
      <c r="A96" s="70" t="s">
        <v>1306</v>
      </c>
      <c r="B96" s="72" t="s">
        <v>1307</v>
      </c>
      <c r="C96" s="72" t="s">
        <v>170</v>
      </c>
      <c r="D96" s="70" t="s">
        <v>120</v>
      </c>
      <c r="E96" s="70" t="s">
        <v>239</v>
      </c>
      <c r="F96" s="159" t="n">
        <v>7700000</v>
      </c>
      <c r="G96" s="71" t="n">
        <v>45470</v>
      </c>
      <c r="H96" s="74" t="n">
        <v>731</v>
      </c>
      <c r="I96" s="157" t="s">
        <v>2148</v>
      </c>
      <c r="J96" s="160" t="s">
        <v>2149</v>
      </c>
    </row>
    <row r="97" customFormat="false" ht="15" hidden="false" customHeight="false" outlineLevel="0" collapsed="false">
      <c r="A97" s="152" t="s">
        <v>772</v>
      </c>
      <c r="B97" s="153" t="s">
        <v>773</v>
      </c>
      <c r="C97" s="153" t="s">
        <v>124</v>
      </c>
      <c r="D97" s="152" t="s">
        <v>161</v>
      </c>
      <c r="E97" s="152" t="s">
        <v>136</v>
      </c>
      <c r="F97" s="154" t="n">
        <v>12200000</v>
      </c>
      <c r="G97" s="155" t="n">
        <v>45473</v>
      </c>
      <c r="H97" s="156" t="n">
        <v>728</v>
      </c>
      <c r="I97" s="157" t="s">
        <v>2148</v>
      </c>
      <c r="J97" s="158" t="s">
        <v>2149</v>
      </c>
    </row>
    <row r="98" customFormat="false" ht="15" hidden="false" customHeight="false" outlineLevel="0" collapsed="false">
      <c r="A98" s="70" t="s">
        <v>1038</v>
      </c>
      <c r="B98" s="72" t="s">
        <v>1039</v>
      </c>
      <c r="C98" s="72" t="s">
        <v>170</v>
      </c>
      <c r="D98" s="70" t="s">
        <v>104</v>
      </c>
      <c r="E98" s="70" t="s">
        <v>99</v>
      </c>
      <c r="F98" s="159" t="n">
        <v>14400000</v>
      </c>
      <c r="G98" s="71" t="n">
        <v>45475</v>
      </c>
      <c r="H98" s="74" t="n">
        <v>726</v>
      </c>
      <c r="I98" s="157" t="s">
        <v>2148</v>
      </c>
      <c r="J98" s="160" t="s">
        <v>2149</v>
      </c>
    </row>
    <row r="99" customFormat="false" ht="15" hidden="false" customHeight="false" outlineLevel="0" collapsed="false">
      <c r="A99" s="152" t="s">
        <v>702</v>
      </c>
      <c r="B99" s="153" t="s">
        <v>703</v>
      </c>
      <c r="C99" s="153" t="s">
        <v>170</v>
      </c>
      <c r="D99" s="152" t="s">
        <v>104</v>
      </c>
      <c r="E99" s="152" t="s">
        <v>147</v>
      </c>
      <c r="F99" s="154" t="n">
        <v>29000000</v>
      </c>
      <c r="G99" s="155" t="n">
        <v>45477</v>
      </c>
      <c r="H99" s="156" t="n">
        <v>724</v>
      </c>
      <c r="I99" s="157" t="s">
        <v>2148</v>
      </c>
      <c r="J99" s="158" t="s">
        <v>2149</v>
      </c>
    </row>
    <row r="100" customFormat="false" ht="15" hidden="false" customHeight="false" outlineLevel="0" collapsed="false">
      <c r="A100" s="70" t="s">
        <v>313</v>
      </c>
      <c r="B100" s="72" t="s">
        <v>314</v>
      </c>
      <c r="C100" s="72" t="s">
        <v>124</v>
      </c>
      <c r="D100" s="70" t="s">
        <v>120</v>
      </c>
      <c r="E100" s="70" t="s">
        <v>89</v>
      </c>
      <c r="F100" s="159" t="n">
        <v>12100000</v>
      </c>
      <c r="G100" s="71" t="n">
        <v>45481</v>
      </c>
      <c r="H100" s="74" t="n">
        <v>720</v>
      </c>
      <c r="I100" s="157" t="s">
        <v>2148</v>
      </c>
      <c r="J100" s="160" t="s">
        <v>2149</v>
      </c>
    </row>
    <row r="101" customFormat="false" ht="15" hidden="false" customHeight="false" outlineLevel="0" collapsed="false">
      <c r="A101" s="152" t="s">
        <v>635</v>
      </c>
      <c r="B101" s="153" t="s">
        <v>636</v>
      </c>
      <c r="C101" s="153" t="s">
        <v>112</v>
      </c>
      <c r="D101" s="152" t="s">
        <v>161</v>
      </c>
      <c r="E101" s="152" t="s">
        <v>165</v>
      </c>
      <c r="F101" s="154" t="n">
        <v>35000000</v>
      </c>
      <c r="G101" s="155" t="n">
        <v>45481</v>
      </c>
      <c r="H101" s="156" t="n">
        <v>720</v>
      </c>
      <c r="I101" s="157" t="s">
        <v>2148</v>
      </c>
      <c r="J101" s="158" t="s">
        <v>2149</v>
      </c>
    </row>
    <row r="102" customFormat="false" ht="15" hidden="false" customHeight="false" outlineLevel="0" collapsed="false">
      <c r="A102" s="70" t="s">
        <v>735</v>
      </c>
      <c r="B102" s="72" t="s">
        <v>124</v>
      </c>
      <c r="C102" s="72" t="s">
        <v>103</v>
      </c>
      <c r="D102" s="70" t="s">
        <v>120</v>
      </c>
      <c r="E102" s="70" t="s">
        <v>147</v>
      </c>
      <c r="F102" s="159" t="n">
        <v>6900000</v>
      </c>
      <c r="G102" s="71" t="n">
        <v>45481</v>
      </c>
      <c r="H102" s="74" t="n">
        <v>720</v>
      </c>
      <c r="I102" s="157" t="s">
        <v>2148</v>
      </c>
      <c r="J102" s="160" t="s">
        <v>2149</v>
      </c>
    </row>
    <row r="103" customFormat="false" ht="15" hidden="false" customHeight="false" outlineLevel="0" collapsed="false">
      <c r="A103" s="152" t="s">
        <v>1130</v>
      </c>
      <c r="B103" s="153" t="s">
        <v>1131</v>
      </c>
      <c r="C103" s="153" t="s">
        <v>148</v>
      </c>
      <c r="D103" s="152" t="s">
        <v>104</v>
      </c>
      <c r="E103" s="152" t="s">
        <v>155</v>
      </c>
      <c r="F103" s="154" t="n">
        <v>20600000</v>
      </c>
      <c r="G103" s="155" t="n">
        <v>45482</v>
      </c>
      <c r="H103" s="156" t="n">
        <v>719</v>
      </c>
      <c r="I103" s="157" t="s">
        <v>2148</v>
      </c>
      <c r="J103" s="158" t="s">
        <v>2149</v>
      </c>
    </row>
    <row r="104" customFormat="false" ht="15" hidden="false" customHeight="false" outlineLevel="0" collapsed="false">
      <c r="A104" s="70" t="s">
        <v>218</v>
      </c>
      <c r="B104" s="72" t="s">
        <v>219</v>
      </c>
      <c r="C104" s="72" t="s">
        <v>124</v>
      </c>
      <c r="D104" s="70" t="s">
        <v>94</v>
      </c>
      <c r="E104" s="70" t="s">
        <v>141</v>
      </c>
      <c r="F104" s="159" t="n">
        <v>11900000</v>
      </c>
      <c r="G104" s="71" t="n">
        <v>45487</v>
      </c>
      <c r="H104" s="74" t="n">
        <v>714</v>
      </c>
      <c r="I104" s="157" t="s">
        <v>2148</v>
      </c>
      <c r="J104" s="160" t="s">
        <v>2149</v>
      </c>
    </row>
    <row r="105" customFormat="false" ht="15" hidden="false" customHeight="false" outlineLevel="0" collapsed="false">
      <c r="A105" s="152" t="s">
        <v>467</v>
      </c>
      <c r="B105" s="153" t="s">
        <v>468</v>
      </c>
      <c r="C105" s="153" t="s">
        <v>148</v>
      </c>
      <c r="D105" s="152" t="s">
        <v>120</v>
      </c>
      <c r="E105" s="152" t="s">
        <v>147</v>
      </c>
      <c r="F105" s="154" t="n">
        <v>5000000</v>
      </c>
      <c r="G105" s="155" t="n">
        <v>45487</v>
      </c>
      <c r="H105" s="156" t="n">
        <v>714</v>
      </c>
      <c r="I105" s="157" t="s">
        <v>2148</v>
      </c>
      <c r="J105" s="158" t="s">
        <v>2149</v>
      </c>
    </row>
    <row r="106" customFormat="false" ht="15" hidden="false" customHeight="false" outlineLevel="0" collapsed="false">
      <c r="A106" s="70" t="s">
        <v>676</v>
      </c>
      <c r="B106" s="72" t="s">
        <v>677</v>
      </c>
      <c r="C106" s="72" t="s">
        <v>103</v>
      </c>
      <c r="D106" s="70" t="s">
        <v>143</v>
      </c>
      <c r="E106" s="70" t="s">
        <v>117</v>
      </c>
      <c r="F106" s="159" t="n">
        <v>7900000</v>
      </c>
      <c r="G106" s="71" t="n">
        <v>45488</v>
      </c>
      <c r="H106" s="74" t="n">
        <v>713</v>
      </c>
      <c r="I106" s="157" t="s">
        <v>2148</v>
      </c>
      <c r="J106" s="160" t="s">
        <v>2149</v>
      </c>
    </row>
    <row r="107" customFormat="false" ht="15" hidden="false" customHeight="false" outlineLevel="0" collapsed="false">
      <c r="A107" s="152" t="s">
        <v>1334</v>
      </c>
      <c r="B107" s="153" t="s">
        <v>1335</v>
      </c>
      <c r="C107" s="153" t="s">
        <v>93</v>
      </c>
      <c r="D107" s="152" t="s">
        <v>161</v>
      </c>
      <c r="E107" s="152" t="s">
        <v>99</v>
      </c>
      <c r="F107" s="154" t="n">
        <v>8400000</v>
      </c>
      <c r="G107" s="155" t="n">
        <v>45489</v>
      </c>
      <c r="H107" s="156" t="n">
        <v>712</v>
      </c>
      <c r="I107" s="157" t="s">
        <v>2148</v>
      </c>
      <c r="J107" s="158" t="s">
        <v>2149</v>
      </c>
    </row>
    <row r="108" customFormat="false" ht="15" hidden="false" customHeight="false" outlineLevel="0" collapsed="false">
      <c r="A108" s="70" t="s">
        <v>419</v>
      </c>
      <c r="B108" s="72" t="s">
        <v>420</v>
      </c>
      <c r="C108" s="72" t="s">
        <v>142</v>
      </c>
      <c r="D108" s="70" t="s">
        <v>120</v>
      </c>
      <c r="E108" s="70" t="s">
        <v>108</v>
      </c>
      <c r="F108" s="159" t="n">
        <v>11100000</v>
      </c>
      <c r="G108" s="71" t="n">
        <v>45491</v>
      </c>
      <c r="H108" s="74" t="n">
        <v>710</v>
      </c>
      <c r="I108" s="157" t="s">
        <v>2148</v>
      </c>
      <c r="J108" s="160" t="s">
        <v>2149</v>
      </c>
    </row>
  </sheetData>
  <mergeCells count="17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9" min="6" style="0" width="12"/>
    <col collapsed="false" customWidth="true" hidden="false" outlineLevel="0" max="10" min="10" style="0" width="18"/>
  </cols>
  <sheetData>
    <row r="1" customFormat="false" ht="31.5" hidden="false" customHeight="true" outlineLevel="0" collapsed="false">
      <c r="A1" s="114" t="s">
        <v>2150</v>
      </c>
      <c r="B1" s="114"/>
      <c r="C1" s="114"/>
      <c r="D1" s="114"/>
      <c r="E1" s="114"/>
      <c r="F1" s="114"/>
      <c r="G1" s="114"/>
      <c r="H1" s="114"/>
      <c r="I1" s="114"/>
      <c r="J1" s="114"/>
    </row>
    <row r="2" customFormat="false" ht="18" hidden="false" customHeight="true" outlineLevel="0" collapsed="false">
      <c r="A2" s="115" t="s">
        <v>2151</v>
      </c>
      <c r="B2" s="115"/>
      <c r="C2" s="115"/>
      <c r="D2" s="115"/>
      <c r="E2" s="115"/>
      <c r="F2" s="115"/>
      <c r="G2" s="115"/>
      <c r="H2" s="115"/>
      <c r="I2" s="115"/>
      <c r="J2" s="115"/>
    </row>
    <row r="4" customFormat="false" ht="21.75" hidden="false" customHeight="true" outlineLevel="0" collapsed="false">
      <c r="A4" s="161" t="s">
        <v>2152</v>
      </c>
      <c r="B4" s="161"/>
      <c r="C4" s="161"/>
      <c r="D4" s="161"/>
      <c r="E4" s="161"/>
      <c r="F4" s="161"/>
      <c r="G4" s="161"/>
      <c r="H4" s="161"/>
      <c r="I4" s="161"/>
      <c r="J4" s="161"/>
    </row>
    <row r="5" customFormat="false" ht="18" hidden="false" customHeight="true" outlineLevel="0" collapsed="false">
      <c r="A5" s="64" t="s">
        <v>44</v>
      </c>
      <c r="B5" s="64" t="s">
        <v>2153</v>
      </c>
      <c r="C5" s="64" t="s">
        <v>2154</v>
      </c>
      <c r="D5" s="64" t="s">
        <v>2155</v>
      </c>
      <c r="E5" s="64" t="s">
        <v>2156</v>
      </c>
      <c r="F5" s="64" t="s">
        <v>1590</v>
      </c>
      <c r="G5" s="64" t="s">
        <v>48</v>
      </c>
      <c r="H5" s="64" t="s">
        <v>1579</v>
      </c>
      <c r="I5" s="64" t="s">
        <v>2157</v>
      </c>
      <c r="J5" s="64" t="s">
        <v>2158</v>
      </c>
    </row>
    <row r="6" customFormat="false" ht="15" hidden="false" customHeight="false" outlineLevel="0" collapsed="false">
      <c r="A6" s="162" t="s">
        <v>2159</v>
      </c>
      <c r="B6" s="163" t="n">
        <v>8000000</v>
      </c>
      <c r="C6" s="163" t="n">
        <v>4920000</v>
      </c>
      <c r="D6" s="164" t="n">
        <v>-3080000</v>
      </c>
      <c r="E6" s="165" t="n">
        <v>0.615</v>
      </c>
      <c r="F6" s="166" t="n">
        <v>6</v>
      </c>
      <c r="G6" s="166" t="n">
        <v>8</v>
      </c>
      <c r="H6" s="162" t="s">
        <v>2160</v>
      </c>
      <c r="I6" s="167"/>
      <c r="J6" s="162" t="s">
        <v>2161</v>
      </c>
    </row>
    <row r="7" customFormat="false" ht="15" hidden="false" customHeight="false" outlineLevel="0" collapsed="false">
      <c r="A7" s="168" t="s">
        <v>2162</v>
      </c>
      <c r="B7" s="169" t="n">
        <v>8000000</v>
      </c>
      <c r="C7" s="169" t="n">
        <v>7670000</v>
      </c>
      <c r="D7" s="170" t="n">
        <v>-330000</v>
      </c>
      <c r="E7" s="171" t="n">
        <v>0.95875</v>
      </c>
      <c r="F7" s="172" t="n">
        <v>9</v>
      </c>
      <c r="G7" s="172" t="n">
        <v>8</v>
      </c>
      <c r="H7" s="168" t="s">
        <v>2163</v>
      </c>
      <c r="I7" s="173" t="n">
        <v>0.558943089430894</v>
      </c>
      <c r="J7" s="168" t="s">
        <v>2164</v>
      </c>
    </row>
    <row r="8" customFormat="false" ht="15" hidden="false" customHeight="false" outlineLevel="0" collapsed="false">
      <c r="A8" s="174" t="s">
        <v>2165</v>
      </c>
      <c r="B8" s="175" t="n">
        <v>10000000</v>
      </c>
      <c r="C8" s="175" t="n">
        <v>12290000</v>
      </c>
      <c r="D8" s="176" t="n">
        <v>2290000</v>
      </c>
      <c r="E8" s="177" t="n">
        <v>1.229</v>
      </c>
      <c r="F8" s="178" t="n">
        <v>8</v>
      </c>
      <c r="G8" s="178" t="n">
        <v>8</v>
      </c>
      <c r="H8" s="174" t="s">
        <v>2166</v>
      </c>
      <c r="I8" s="179" t="n">
        <v>0.602346805736636</v>
      </c>
      <c r="J8" s="174" t="s">
        <v>2167</v>
      </c>
    </row>
    <row r="9" customFormat="false" ht="15" hidden="false" customHeight="false" outlineLevel="0" collapsed="false">
      <c r="A9" s="168" t="s">
        <v>2168</v>
      </c>
      <c r="B9" s="169" t="n">
        <v>10000000</v>
      </c>
      <c r="C9" s="169" t="n">
        <v>8120000</v>
      </c>
      <c r="D9" s="170" t="n">
        <v>-1880000</v>
      </c>
      <c r="E9" s="171" t="n">
        <v>0.812</v>
      </c>
      <c r="F9" s="172" t="n">
        <v>9</v>
      </c>
      <c r="G9" s="172" t="n">
        <v>8</v>
      </c>
      <c r="H9" s="168" t="s">
        <v>2163</v>
      </c>
      <c r="I9" s="173" t="n">
        <v>-0.339300244100895</v>
      </c>
      <c r="J9" s="168" t="s">
        <v>2164</v>
      </c>
    </row>
    <row r="10" customFormat="false" ht="15" hidden="false" customHeight="false" outlineLevel="0" collapsed="false">
      <c r="A10" s="174" t="s">
        <v>2169</v>
      </c>
      <c r="B10" s="175" t="n">
        <v>10000000</v>
      </c>
      <c r="C10" s="175" t="n">
        <v>17730000</v>
      </c>
      <c r="D10" s="176" t="n">
        <v>7730000</v>
      </c>
      <c r="E10" s="177" t="n">
        <v>1.773</v>
      </c>
      <c r="F10" s="178" t="n">
        <v>8</v>
      </c>
      <c r="G10" s="178" t="n">
        <v>8</v>
      </c>
      <c r="H10" s="174" t="s">
        <v>2166</v>
      </c>
      <c r="I10" s="179" t="n">
        <v>1.18349753694581</v>
      </c>
      <c r="J10" s="174" t="s">
        <v>2167</v>
      </c>
    </row>
    <row r="11" customFormat="false" ht="15" hidden="false" customHeight="false" outlineLevel="0" collapsed="false">
      <c r="A11" s="174" t="s">
        <v>2170</v>
      </c>
      <c r="B11" s="175" t="n">
        <v>10000000</v>
      </c>
      <c r="C11" s="175" t="n">
        <v>10350000</v>
      </c>
      <c r="D11" s="176" t="n">
        <v>350000</v>
      </c>
      <c r="E11" s="177" t="n">
        <v>1.035</v>
      </c>
      <c r="F11" s="178" t="n">
        <v>3</v>
      </c>
      <c r="G11" s="178" t="n">
        <v>8</v>
      </c>
      <c r="H11" s="174" t="s">
        <v>2166</v>
      </c>
      <c r="I11" s="179" t="n">
        <v>-0.416243654822335</v>
      </c>
      <c r="J11" s="174" t="s">
        <v>2167</v>
      </c>
    </row>
    <row r="12" customFormat="false" ht="15" hidden="false" customHeight="false" outlineLevel="0" collapsed="false">
      <c r="A12" s="162" t="s">
        <v>2171</v>
      </c>
      <c r="B12" s="163" t="n">
        <v>12000000</v>
      </c>
      <c r="C12" s="163" t="n">
        <v>3380000</v>
      </c>
      <c r="D12" s="164" t="n">
        <v>-8620000</v>
      </c>
      <c r="E12" s="165" t="n">
        <v>0.281666666666667</v>
      </c>
      <c r="F12" s="166" t="n">
        <v>7</v>
      </c>
      <c r="G12" s="166" t="n">
        <v>8</v>
      </c>
      <c r="H12" s="162" t="s">
        <v>2160</v>
      </c>
      <c r="I12" s="167" t="n">
        <v>-0.673429951690821</v>
      </c>
      <c r="J12" s="162" t="s">
        <v>2161</v>
      </c>
    </row>
    <row r="13" customFormat="false" ht="15" hidden="false" customHeight="false" outlineLevel="0" collapsed="false">
      <c r="A13" s="162" t="s">
        <v>2172</v>
      </c>
      <c r="B13" s="163" t="n">
        <v>12000000</v>
      </c>
      <c r="C13" s="163" t="n">
        <v>7020000</v>
      </c>
      <c r="D13" s="164" t="n">
        <v>-4980000</v>
      </c>
      <c r="E13" s="165" t="n">
        <v>0.585</v>
      </c>
      <c r="F13" s="166" t="n">
        <v>10</v>
      </c>
      <c r="G13" s="166" t="n">
        <v>8</v>
      </c>
      <c r="H13" s="162" t="s">
        <v>2160</v>
      </c>
      <c r="I13" s="167" t="n">
        <v>1.07692307692308</v>
      </c>
      <c r="J13" s="162" t="s">
        <v>2161</v>
      </c>
    </row>
    <row r="14" customFormat="false" ht="15" hidden="false" customHeight="false" outlineLevel="0" collapsed="false">
      <c r="A14" s="162" t="s">
        <v>2173</v>
      </c>
      <c r="B14" s="163" t="n">
        <v>12000000</v>
      </c>
      <c r="C14" s="163" t="n">
        <v>8660000</v>
      </c>
      <c r="D14" s="164" t="n">
        <v>-3340000</v>
      </c>
      <c r="E14" s="165" t="n">
        <v>0.721666666666667</v>
      </c>
      <c r="F14" s="166" t="n">
        <v>7</v>
      </c>
      <c r="G14" s="166" t="n">
        <v>8</v>
      </c>
      <c r="H14" s="162" t="s">
        <v>2160</v>
      </c>
      <c r="I14" s="167" t="n">
        <v>0.233618233618234</v>
      </c>
      <c r="J14" s="162" t="s">
        <v>2161</v>
      </c>
    </row>
    <row r="15" customFormat="false" ht="15" hidden="false" customHeight="false" outlineLevel="0" collapsed="false">
      <c r="A15" s="174" t="s">
        <v>2174</v>
      </c>
      <c r="B15" s="175" t="n">
        <v>12000000</v>
      </c>
      <c r="C15" s="175" t="n">
        <v>14970000</v>
      </c>
      <c r="D15" s="176" t="n">
        <v>2970000</v>
      </c>
      <c r="E15" s="177" t="n">
        <v>1.2475</v>
      </c>
      <c r="F15" s="178" t="n">
        <v>9</v>
      </c>
      <c r="G15" s="178" t="n">
        <v>8</v>
      </c>
      <c r="H15" s="174" t="s">
        <v>2166</v>
      </c>
      <c r="I15" s="179" t="n">
        <v>0.728637413394919</v>
      </c>
      <c r="J15" s="174" t="s">
        <v>2167</v>
      </c>
    </row>
    <row r="16" customFormat="false" ht="15" hidden="false" customHeight="false" outlineLevel="0" collapsed="false">
      <c r="A16" s="174" t="s">
        <v>2175</v>
      </c>
      <c r="B16" s="175" t="n">
        <v>12000000</v>
      </c>
      <c r="C16" s="175" t="n">
        <v>13610000</v>
      </c>
      <c r="D16" s="176" t="n">
        <v>1610000</v>
      </c>
      <c r="E16" s="177" t="n">
        <v>1.13416666666667</v>
      </c>
      <c r="F16" s="178" t="n">
        <v>7</v>
      </c>
      <c r="G16" s="178" t="n">
        <v>8</v>
      </c>
      <c r="H16" s="174" t="s">
        <v>2166</v>
      </c>
      <c r="I16" s="179" t="n">
        <v>-0.0908483633934536</v>
      </c>
      <c r="J16" s="174" t="s">
        <v>2167</v>
      </c>
    </row>
    <row r="17" customFormat="false" ht="15" hidden="false" customHeight="false" outlineLevel="0" collapsed="false">
      <c r="A17" s="168" t="s">
        <v>2176</v>
      </c>
      <c r="B17" s="169" t="n">
        <v>15000000</v>
      </c>
      <c r="C17" s="169" t="n">
        <v>13930000</v>
      </c>
      <c r="D17" s="170" t="n">
        <v>-1070000</v>
      </c>
      <c r="E17" s="171" t="n">
        <v>0.928666666666667</v>
      </c>
      <c r="F17" s="172" t="n">
        <v>2</v>
      </c>
      <c r="G17" s="172" t="n">
        <v>8</v>
      </c>
      <c r="H17" s="168" t="s">
        <v>2163</v>
      </c>
      <c r="I17" s="173" t="n">
        <v>0.0235121234386481</v>
      </c>
      <c r="J17" s="168" t="s">
        <v>2164</v>
      </c>
    </row>
    <row r="18" customFormat="false" ht="15" hidden="false" customHeight="false" outlineLevel="0" collapsed="false">
      <c r="A18" s="108" t="s">
        <v>2177</v>
      </c>
      <c r="B18" s="180" t="n">
        <v>131000000</v>
      </c>
      <c r="C18" s="180" t="n">
        <v>122650000</v>
      </c>
      <c r="D18" s="180" t="n">
        <v>-8350000</v>
      </c>
      <c r="E18" s="100" t="n">
        <v>0.936259541984733</v>
      </c>
      <c r="F18" s="98" t="n">
        <v>85</v>
      </c>
      <c r="G18" s="98" t="n">
        <v>96</v>
      </c>
    </row>
    <row r="20" customFormat="false" ht="21.75" hidden="false" customHeight="true" outlineLevel="0" collapsed="false">
      <c r="A20" s="161" t="s">
        <v>2178</v>
      </c>
      <c r="B20" s="161"/>
      <c r="C20" s="161"/>
      <c r="D20" s="161"/>
      <c r="E20" s="161"/>
      <c r="F20" s="161"/>
      <c r="G20" s="161"/>
      <c r="H20" s="161"/>
      <c r="I20" s="161"/>
      <c r="J20" s="161"/>
    </row>
    <row r="21" customFormat="false" ht="18" hidden="false" customHeight="true" outlineLevel="0" collapsed="false">
      <c r="A21" s="64" t="s">
        <v>1580</v>
      </c>
      <c r="B21" s="64" t="s">
        <v>2179</v>
      </c>
      <c r="C21" s="64" t="s">
        <v>2180</v>
      </c>
      <c r="D21" s="64" t="s">
        <v>2181</v>
      </c>
      <c r="E21" s="64" t="s">
        <v>2156</v>
      </c>
      <c r="F21" s="64" t="s">
        <v>48</v>
      </c>
      <c r="G21" s="64" t="s">
        <v>49</v>
      </c>
      <c r="H21" s="64" t="s">
        <v>1592</v>
      </c>
      <c r="I21" s="64" t="s">
        <v>2182</v>
      </c>
      <c r="J21" s="64" t="s">
        <v>1594</v>
      </c>
    </row>
    <row r="22" customFormat="false" ht="15" hidden="false" customHeight="false" outlineLevel="0" collapsed="false">
      <c r="A22" s="133" t="s">
        <v>209</v>
      </c>
      <c r="B22" s="175" t="n">
        <v>18000000</v>
      </c>
      <c r="C22" s="175" t="n">
        <v>17910000</v>
      </c>
      <c r="D22" s="175" t="n">
        <v>90000</v>
      </c>
      <c r="E22" s="177" t="n">
        <v>0.995</v>
      </c>
      <c r="F22" s="178" t="n">
        <v>12</v>
      </c>
      <c r="G22" s="178" t="n">
        <v>14</v>
      </c>
      <c r="H22" s="179" t="n">
        <v>0.286</v>
      </c>
      <c r="I22" s="181" t="n">
        <v>103.4</v>
      </c>
      <c r="J22" s="174" t="s">
        <v>2183</v>
      </c>
    </row>
    <row r="23" customFormat="false" ht="15" hidden="false" customHeight="false" outlineLevel="0" collapsed="false">
      <c r="A23" s="126" t="s">
        <v>124</v>
      </c>
      <c r="B23" s="169" t="n">
        <v>20000000</v>
      </c>
      <c r="C23" s="169" t="n">
        <v>18880000</v>
      </c>
      <c r="D23" s="169" t="n">
        <v>1120000</v>
      </c>
      <c r="E23" s="171" t="n">
        <v>0.944</v>
      </c>
      <c r="F23" s="172" t="n">
        <v>14</v>
      </c>
      <c r="G23" s="172" t="n">
        <v>14</v>
      </c>
      <c r="H23" s="173" t="n">
        <v>0.246</v>
      </c>
      <c r="I23" s="182" t="n">
        <v>92.4</v>
      </c>
      <c r="J23" s="168" t="s">
        <v>2183</v>
      </c>
    </row>
    <row r="24" customFormat="false" ht="15" hidden="false" customHeight="false" outlineLevel="0" collapsed="false">
      <c r="A24" s="133" t="s">
        <v>93</v>
      </c>
      <c r="B24" s="175" t="n">
        <v>18000000</v>
      </c>
      <c r="C24" s="175" t="n">
        <v>18170000</v>
      </c>
      <c r="D24" s="175" t="n">
        <v>-170000</v>
      </c>
      <c r="E24" s="177" t="n">
        <v>1.00944444444444</v>
      </c>
      <c r="F24" s="178" t="n">
        <v>12</v>
      </c>
      <c r="G24" s="178" t="n">
        <v>11</v>
      </c>
      <c r="H24" s="179" t="n">
        <v>0.229</v>
      </c>
      <c r="I24" s="181" t="n">
        <v>90.8</v>
      </c>
      <c r="J24" s="174" t="s">
        <v>2183</v>
      </c>
    </row>
    <row r="25" customFormat="false" ht="15" hidden="false" customHeight="false" outlineLevel="0" collapsed="false">
      <c r="A25" s="126" t="s">
        <v>112</v>
      </c>
      <c r="B25" s="169" t="n">
        <v>20000000</v>
      </c>
      <c r="C25" s="169" t="n">
        <v>17490000</v>
      </c>
      <c r="D25" s="169" t="n">
        <v>2510000</v>
      </c>
      <c r="E25" s="171" t="n">
        <v>0.8745</v>
      </c>
      <c r="F25" s="172" t="n">
        <v>14</v>
      </c>
      <c r="G25" s="172" t="n">
        <v>12</v>
      </c>
      <c r="H25" s="173" t="n">
        <v>0.197</v>
      </c>
      <c r="I25" s="182" t="n">
        <v>80.4</v>
      </c>
      <c r="J25" s="168" t="s">
        <v>2184</v>
      </c>
    </row>
    <row r="26" customFormat="false" ht="15" hidden="false" customHeight="false" outlineLevel="0" collapsed="false">
      <c r="A26" s="126" t="s">
        <v>103</v>
      </c>
      <c r="B26" s="169" t="n">
        <v>15000000</v>
      </c>
      <c r="C26" s="169" t="n">
        <v>13260000</v>
      </c>
      <c r="D26" s="169" t="n">
        <v>1740000</v>
      </c>
      <c r="E26" s="171" t="n">
        <v>0.884</v>
      </c>
      <c r="F26" s="172" t="n">
        <v>10</v>
      </c>
      <c r="G26" s="172" t="n">
        <v>7</v>
      </c>
      <c r="H26" s="173" t="n">
        <v>0.127</v>
      </c>
      <c r="I26" s="182" t="n">
        <v>69.1</v>
      </c>
      <c r="J26" s="168" t="s">
        <v>2185</v>
      </c>
    </row>
    <row r="27" customFormat="false" ht="15" hidden="false" customHeight="false" outlineLevel="0" collapsed="false">
      <c r="A27" s="118" t="s">
        <v>178</v>
      </c>
      <c r="B27" s="163" t="n">
        <v>12000000</v>
      </c>
      <c r="C27" s="163" t="n">
        <v>8600000</v>
      </c>
      <c r="D27" s="163" t="n">
        <v>3400000</v>
      </c>
      <c r="E27" s="165" t="n">
        <v>0.716666666666667</v>
      </c>
      <c r="F27" s="166" t="n">
        <v>8</v>
      </c>
      <c r="G27" s="166" t="n">
        <v>6</v>
      </c>
      <c r="H27" s="167" t="n">
        <v>0.154</v>
      </c>
      <c r="I27" s="183" t="n">
        <v>66.6</v>
      </c>
      <c r="J27" s="162" t="s">
        <v>2185</v>
      </c>
    </row>
    <row r="28" customFormat="false" ht="15" hidden="false" customHeight="false" outlineLevel="0" collapsed="false">
      <c r="A28" s="118" t="s">
        <v>191</v>
      </c>
      <c r="B28" s="163" t="n">
        <v>12000000</v>
      </c>
      <c r="C28" s="163" t="n">
        <v>8900000</v>
      </c>
      <c r="D28" s="163" t="n">
        <v>3100000</v>
      </c>
      <c r="E28" s="165" t="n">
        <v>0.741666666666667</v>
      </c>
      <c r="F28" s="166" t="n">
        <v>8</v>
      </c>
      <c r="G28" s="166" t="n">
        <v>4</v>
      </c>
      <c r="H28" s="167" t="n">
        <v>0.103</v>
      </c>
      <c r="I28" s="183" t="n">
        <v>55</v>
      </c>
      <c r="J28" s="162" t="s">
        <v>2186</v>
      </c>
    </row>
    <row r="29" customFormat="false" ht="15" hidden="false" customHeight="false" outlineLevel="0" collapsed="false">
      <c r="A29" s="118" t="s">
        <v>148</v>
      </c>
      <c r="B29" s="163" t="n">
        <v>12000000</v>
      </c>
      <c r="C29" s="163" t="n">
        <v>8130000</v>
      </c>
      <c r="D29" s="163" t="n">
        <v>3870000</v>
      </c>
      <c r="E29" s="165" t="n">
        <v>0.6775</v>
      </c>
      <c r="F29" s="166" t="n">
        <v>8</v>
      </c>
      <c r="G29" s="166" t="n">
        <v>7</v>
      </c>
      <c r="H29" s="167" t="n">
        <v>0.123</v>
      </c>
      <c r="I29" s="183" t="n">
        <v>65.7</v>
      </c>
      <c r="J29" s="162" t="s">
        <v>2185</v>
      </c>
    </row>
    <row r="30" customFormat="false" ht="15" hidden="false" customHeight="false" outlineLevel="0" collapsed="false">
      <c r="A30" s="118" t="s">
        <v>170</v>
      </c>
      <c r="B30" s="163" t="n">
        <v>12000000</v>
      </c>
      <c r="C30" s="163" t="n">
        <v>7050000</v>
      </c>
      <c r="D30" s="163" t="n">
        <v>4950000</v>
      </c>
      <c r="E30" s="165" t="n">
        <v>0.5875</v>
      </c>
      <c r="F30" s="166" t="n">
        <v>8</v>
      </c>
      <c r="G30" s="166" t="n">
        <v>6</v>
      </c>
      <c r="H30" s="167" t="n">
        <v>0.115</v>
      </c>
      <c r="I30" s="183" t="n">
        <v>57.5</v>
      </c>
      <c r="J30" s="162" t="s">
        <v>2186</v>
      </c>
    </row>
    <row r="31" customFormat="false" ht="15" hidden="false" customHeight="false" outlineLevel="0" collapsed="false">
      <c r="A31" s="118" t="s">
        <v>142</v>
      </c>
      <c r="B31" s="163" t="n">
        <v>10000000</v>
      </c>
      <c r="C31" s="163" t="n">
        <v>4280000</v>
      </c>
      <c r="D31" s="163" t="n">
        <v>5720000</v>
      </c>
      <c r="E31" s="165" t="n">
        <v>0.428</v>
      </c>
      <c r="F31" s="166" t="n">
        <v>7</v>
      </c>
      <c r="G31" s="166" t="n">
        <v>4</v>
      </c>
      <c r="H31" s="167" t="n">
        <v>0.093</v>
      </c>
      <c r="I31" s="183" t="n">
        <v>43.6</v>
      </c>
      <c r="J31" s="162" t="s">
        <v>2186</v>
      </c>
    </row>
  </sheetData>
  <mergeCells count="4">
    <mergeCell ref="A1:J1"/>
    <mergeCell ref="A2:J2"/>
    <mergeCell ref="A4:J4"/>
    <mergeCell ref="A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9" min="5" style="0" width="14"/>
    <col collapsed="false" customWidth="true" hidden="false" outlineLevel="0" max="10" min="10" style="0" width="20"/>
  </cols>
  <sheetData>
    <row r="1" customFormat="false" ht="31.5" hidden="false" customHeight="true" outlineLevel="0" collapsed="false">
      <c r="A1" s="114" t="s">
        <v>2187</v>
      </c>
      <c r="B1" s="114"/>
      <c r="C1" s="114"/>
      <c r="D1" s="114"/>
      <c r="E1" s="114"/>
      <c r="F1" s="114"/>
      <c r="G1" s="114"/>
      <c r="H1" s="114"/>
      <c r="I1" s="114"/>
      <c r="J1" s="114"/>
    </row>
    <row r="2" customFormat="false" ht="18" hidden="false" customHeight="true" outlineLevel="0" collapsed="false">
      <c r="A2" s="115" t="s">
        <v>2188</v>
      </c>
      <c r="B2" s="115"/>
      <c r="C2" s="115"/>
      <c r="D2" s="115"/>
      <c r="E2" s="115"/>
      <c r="F2" s="115"/>
      <c r="G2" s="115"/>
      <c r="H2" s="115"/>
      <c r="I2" s="115"/>
      <c r="J2" s="115"/>
    </row>
    <row r="4" customFormat="false" ht="18" hidden="false" customHeight="true" outlineLevel="0" collapsed="false">
      <c r="A4" s="64" t="s">
        <v>1585</v>
      </c>
      <c r="B4" s="64" t="s">
        <v>2189</v>
      </c>
      <c r="C4" s="64" t="s">
        <v>1598</v>
      </c>
      <c r="D4" s="64" t="s">
        <v>1590</v>
      </c>
      <c r="E4" s="64" t="s">
        <v>2190</v>
      </c>
      <c r="F4" s="64" t="s">
        <v>1591</v>
      </c>
      <c r="G4" s="64" t="s">
        <v>2191</v>
      </c>
      <c r="H4" s="64" t="s">
        <v>2009</v>
      </c>
      <c r="I4" s="64" t="s">
        <v>2192</v>
      </c>
      <c r="J4" s="64" t="s">
        <v>2158</v>
      </c>
    </row>
    <row r="5" customFormat="false" ht="15" hidden="false" customHeight="false" outlineLevel="0" collapsed="false">
      <c r="A5" s="184" t="n">
        <v>1</v>
      </c>
      <c r="B5" s="185" t="s">
        <v>111</v>
      </c>
      <c r="C5" s="184" t="n">
        <v>59</v>
      </c>
      <c r="D5" s="184" t="n">
        <v>14</v>
      </c>
      <c r="E5" s="186" t="n">
        <v>0.237</v>
      </c>
      <c r="F5" s="187" t="n">
        <v>23970000</v>
      </c>
      <c r="G5" s="187" t="n">
        <v>406271.186440678</v>
      </c>
      <c r="H5" s="187" t="n">
        <v>1712142.85714286</v>
      </c>
      <c r="I5" s="188" t="n">
        <v>47.1</v>
      </c>
      <c r="J5" s="189" t="s">
        <v>2193</v>
      </c>
    </row>
    <row r="6" customFormat="false" ht="15" hidden="false" customHeight="false" outlineLevel="0" collapsed="false">
      <c r="A6" s="87" t="n">
        <v>2</v>
      </c>
      <c r="B6" s="112" t="s">
        <v>85</v>
      </c>
      <c r="C6" s="87" t="n">
        <v>66</v>
      </c>
      <c r="D6" s="87" t="n">
        <v>15</v>
      </c>
      <c r="E6" s="190" t="n">
        <v>0.227</v>
      </c>
      <c r="F6" s="191" t="n">
        <v>20810000</v>
      </c>
      <c r="G6" s="191" t="n">
        <v>315303.03030303</v>
      </c>
      <c r="H6" s="191" t="n">
        <v>1387333.33333333</v>
      </c>
      <c r="I6" s="192" t="n">
        <v>39.5</v>
      </c>
      <c r="J6" s="189" t="s">
        <v>2193</v>
      </c>
    </row>
    <row r="7" customFormat="false" ht="15" hidden="false" customHeight="false" outlineLevel="0" collapsed="false">
      <c r="A7" s="184" t="n">
        <v>3</v>
      </c>
      <c r="B7" s="185" t="s">
        <v>119</v>
      </c>
      <c r="C7" s="184" t="n">
        <v>87</v>
      </c>
      <c r="D7" s="184" t="n">
        <v>17</v>
      </c>
      <c r="E7" s="193" t="n">
        <v>0.195</v>
      </c>
      <c r="F7" s="187" t="n">
        <v>22390000</v>
      </c>
      <c r="G7" s="187" t="n">
        <v>257356.321839081</v>
      </c>
      <c r="H7" s="187" t="n">
        <v>1317058.82352941</v>
      </c>
      <c r="I7" s="188" t="n">
        <v>33</v>
      </c>
      <c r="J7" s="194" t="s">
        <v>2194</v>
      </c>
    </row>
    <row r="8" customFormat="false" ht="15" hidden="false" customHeight="false" outlineLevel="0" collapsed="false">
      <c r="A8" s="87" t="n">
        <v>4</v>
      </c>
      <c r="B8" s="112" t="s">
        <v>160</v>
      </c>
      <c r="C8" s="87" t="n">
        <v>64</v>
      </c>
      <c r="D8" s="87" t="n">
        <v>10</v>
      </c>
      <c r="E8" s="195" t="n">
        <v>0.156</v>
      </c>
      <c r="F8" s="191" t="n">
        <v>16710000</v>
      </c>
      <c r="G8" s="191" t="n">
        <v>261093.75</v>
      </c>
      <c r="H8" s="191" t="n">
        <v>1671000</v>
      </c>
      <c r="I8" s="192" t="n">
        <v>30.5</v>
      </c>
      <c r="J8" s="194" t="s">
        <v>2194</v>
      </c>
    </row>
    <row r="9" customFormat="false" ht="15" hidden="false" customHeight="false" outlineLevel="0" collapsed="false">
      <c r="A9" s="184" t="n">
        <v>5</v>
      </c>
      <c r="B9" s="185" t="s">
        <v>102</v>
      </c>
      <c r="C9" s="184" t="n">
        <v>66</v>
      </c>
      <c r="D9" s="184" t="n">
        <v>9</v>
      </c>
      <c r="E9" s="196" t="n">
        <v>0.136</v>
      </c>
      <c r="F9" s="187" t="n">
        <v>16640000</v>
      </c>
      <c r="G9" s="187" t="n">
        <v>252121.212121212</v>
      </c>
      <c r="H9" s="187" t="n">
        <v>1848888.88888889</v>
      </c>
      <c r="I9" s="188" t="n">
        <v>28.4</v>
      </c>
      <c r="J9" s="113" t="s">
        <v>2195</v>
      </c>
    </row>
    <row r="10" customFormat="false" ht="15" hidden="false" customHeight="false" outlineLevel="0" collapsed="false">
      <c r="A10" s="87" t="n">
        <v>6</v>
      </c>
      <c r="B10" s="112" t="s">
        <v>137</v>
      </c>
      <c r="C10" s="87" t="n">
        <v>95</v>
      </c>
      <c r="D10" s="87" t="n">
        <v>12</v>
      </c>
      <c r="E10" s="197" t="n">
        <v>0.126</v>
      </c>
      <c r="F10" s="191" t="n">
        <v>13260000</v>
      </c>
      <c r="G10" s="191" t="n">
        <v>139578.947368421</v>
      </c>
      <c r="H10" s="191" t="n">
        <v>1105000</v>
      </c>
      <c r="I10" s="192" t="n">
        <v>19.3</v>
      </c>
      <c r="J10" s="113" t="s">
        <v>2195</v>
      </c>
    </row>
    <row r="11" customFormat="false" ht="15" hidden="false" customHeight="false" outlineLevel="0" collapsed="false">
      <c r="A11" s="184" t="n">
        <v>7</v>
      </c>
      <c r="B11" s="185" t="s">
        <v>92</v>
      </c>
      <c r="C11" s="184" t="n">
        <v>63</v>
      </c>
      <c r="D11" s="184" t="n">
        <v>8</v>
      </c>
      <c r="E11" s="196" t="n">
        <v>0.127</v>
      </c>
      <c r="F11" s="187" t="n">
        <v>8860000</v>
      </c>
      <c r="G11" s="187" t="n">
        <v>140634.920634921</v>
      </c>
      <c r="H11" s="187" t="n">
        <v>1107500</v>
      </c>
      <c r="I11" s="188" t="n">
        <v>19.4</v>
      </c>
      <c r="J11" s="113" t="s">
        <v>2195</v>
      </c>
    </row>
    <row r="13" customFormat="false" ht="27.75" hidden="false" customHeight="true" outlineLevel="0" collapsed="false">
      <c r="A13" s="198" t="s">
        <v>2196</v>
      </c>
      <c r="B13" s="198"/>
      <c r="C13" s="198"/>
      <c r="D13" s="198"/>
      <c r="E13" s="198"/>
      <c r="F13" s="198"/>
      <c r="G13" s="198"/>
      <c r="H13" s="198"/>
      <c r="I13" s="198"/>
      <c r="J13" s="198"/>
    </row>
  </sheetData>
  <mergeCells count="3">
    <mergeCell ref="A1:J1"/>
    <mergeCell ref="A2:J2"/>
    <mergeCell ref="A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4"/>
    <col collapsed="false" customWidth="true" hidden="false" outlineLevel="0" max="8" min="8" style="0" width="20"/>
  </cols>
  <sheetData>
    <row r="1" customFormat="false" ht="31.5" hidden="false" customHeight="true" outlineLevel="0" collapsed="false">
      <c r="A1" s="114" t="s">
        <v>2197</v>
      </c>
      <c r="B1" s="114"/>
      <c r="C1" s="114"/>
      <c r="D1" s="114"/>
      <c r="E1" s="114"/>
      <c r="F1" s="114"/>
      <c r="G1" s="114"/>
      <c r="H1" s="114"/>
    </row>
    <row r="2" customFormat="false" ht="18" hidden="false" customHeight="true" outlineLevel="0" collapsed="false">
      <c r="A2" s="115" t="s">
        <v>2198</v>
      </c>
      <c r="B2" s="115"/>
      <c r="C2" s="115"/>
      <c r="D2" s="115"/>
      <c r="E2" s="115"/>
      <c r="F2" s="115"/>
      <c r="G2" s="115"/>
      <c r="H2" s="115"/>
    </row>
    <row r="4" customFormat="false" ht="18" hidden="false" customHeight="true" outlineLevel="0" collapsed="false">
      <c r="A4" s="64" t="s">
        <v>44</v>
      </c>
      <c r="B4" s="64" t="s">
        <v>2199</v>
      </c>
      <c r="C4" s="64" t="s">
        <v>2200</v>
      </c>
      <c r="D4" s="64" t="s">
        <v>2201</v>
      </c>
      <c r="E4" s="64" t="s">
        <v>2202</v>
      </c>
      <c r="F4" s="64" t="s">
        <v>2203</v>
      </c>
      <c r="G4" s="64" t="s">
        <v>2153</v>
      </c>
      <c r="H4" s="64" t="s">
        <v>2204</v>
      </c>
    </row>
    <row r="5" customFormat="false" ht="15" hidden="false" customHeight="false" outlineLevel="0" collapsed="false">
      <c r="A5" s="199" t="s">
        <v>2205</v>
      </c>
      <c r="B5" s="184" t="n">
        <v>368</v>
      </c>
      <c r="C5" s="184" t="n">
        <v>85</v>
      </c>
      <c r="D5" s="164" t="n">
        <v>8000000</v>
      </c>
      <c r="E5" s="200" t="n">
        <v>10500000</v>
      </c>
      <c r="F5" s="201" t="n">
        <v>14000000</v>
      </c>
      <c r="G5" s="187" t="n">
        <v>12000000</v>
      </c>
      <c r="H5" s="185" t="s">
        <v>2206</v>
      </c>
    </row>
    <row r="6" customFormat="false" ht="15" hidden="false" customHeight="false" outlineLevel="0" collapsed="false">
      <c r="A6" s="91" t="s">
        <v>2207</v>
      </c>
      <c r="B6" s="87" t="n">
        <v>340</v>
      </c>
      <c r="C6" s="87" t="n">
        <v>90</v>
      </c>
      <c r="D6" s="164" t="n">
        <v>9000000</v>
      </c>
      <c r="E6" s="202" t="n">
        <v>12000000</v>
      </c>
      <c r="F6" s="201" t="n">
        <v>16000000</v>
      </c>
      <c r="G6" s="191" t="n">
        <v>12000000</v>
      </c>
      <c r="H6" s="112" t="s">
        <v>2208</v>
      </c>
    </row>
    <row r="7" customFormat="false" ht="15" hidden="false" customHeight="false" outlineLevel="0" collapsed="false">
      <c r="A7" s="199" t="s">
        <v>2209</v>
      </c>
      <c r="B7" s="184" t="n">
        <v>380</v>
      </c>
      <c r="C7" s="184" t="n">
        <v>95</v>
      </c>
      <c r="D7" s="164" t="n">
        <v>10000000</v>
      </c>
      <c r="E7" s="200" t="n">
        <v>13500000</v>
      </c>
      <c r="F7" s="201" t="n">
        <v>18000000</v>
      </c>
      <c r="G7" s="187" t="n">
        <v>12000000</v>
      </c>
      <c r="H7" s="185" t="s">
        <v>2210</v>
      </c>
    </row>
    <row r="8" customFormat="false" ht="15" hidden="false" customHeight="false" outlineLevel="0" collapsed="false">
      <c r="A8" s="91" t="s">
        <v>2211</v>
      </c>
      <c r="B8" s="87" t="n">
        <v>400</v>
      </c>
      <c r="C8" s="87" t="n">
        <v>100</v>
      </c>
      <c r="D8" s="164" t="n">
        <v>11000000</v>
      </c>
      <c r="E8" s="202" t="n">
        <v>14000000</v>
      </c>
      <c r="F8" s="201" t="n">
        <v>19000000</v>
      </c>
      <c r="G8" s="191" t="n">
        <v>15000000</v>
      </c>
      <c r="H8" s="112" t="s">
        <v>2212</v>
      </c>
    </row>
    <row r="9" customFormat="false" ht="15" hidden="false" customHeight="false" outlineLevel="0" collapsed="false">
      <c r="A9" s="199" t="s">
        <v>2213</v>
      </c>
      <c r="B9" s="184" t="n">
        <v>420</v>
      </c>
      <c r="C9" s="184" t="n">
        <v>110</v>
      </c>
      <c r="D9" s="164" t="n">
        <v>12000000</v>
      </c>
      <c r="E9" s="200" t="n">
        <v>15500000</v>
      </c>
      <c r="F9" s="201" t="n">
        <v>21000000</v>
      </c>
      <c r="G9" s="187" t="n">
        <v>15000000</v>
      </c>
      <c r="H9" s="185" t="s">
        <v>2214</v>
      </c>
    </row>
    <row r="10" customFormat="false" ht="15" hidden="false" customHeight="false" outlineLevel="0" collapsed="false">
      <c r="A10" s="91" t="s">
        <v>2215</v>
      </c>
      <c r="B10" s="87" t="n">
        <v>440</v>
      </c>
      <c r="C10" s="87" t="n">
        <v>115</v>
      </c>
      <c r="D10" s="164" t="n">
        <v>11000000</v>
      </c>
      <c r="E10" s="202" t="n">
        <v>14500000</v>
      </c>
      <c r="F10" s="201" t="n">
        <v>20000000</v>
      </c>
      <c r="G10" s="191" t="n">
        <v>15000000</v>
      </c>
      <c r="H10" s="112" t="s">
        <v>2216</v>
      </c>
    </row>
    <row r="11" customFormat="false" ht="15" hidden="false" customHeight="false" outlineLevel="0" collapsed="false">
      <c r="A11" s="108" t="s">
        <v>2217</v>
      </c>
      <c r="B11" s="203"/>
      <c r="C11" s="203"/>
      <c r="D11" s="180" t="n">
        <v>61000000</v>
      </c>
      <c r="E11" s="180" t="n">
        <v>80000000</v>
      </c>
      <c r="F11" s="180" t="n">
        <v>108000000</v>
      </c>
      <c r="G11" s="180" t="n">
        <v>81000000</v>
      </c>
      <c r="H11" s="203"/>
    </row>
    <row r="13" customFormat="false" ht="21.75" hidden="false" customHeight="true" outlineLevel="0" collapsed="false">
      <c r="A13" s="161" t="s">
        <v>2218</v>
      </c>
      <c r="B13" s="161"/>
      <c r="C13" s="161"/>
      <c r="D13" s="161"/>
      <c r="E13" s="161"/>
      <c r="F13" s="161"/>
      <c r="G13" s="161"/>
      <c r="H13" s="161"/>
    </row>
    <row r="14" customFormat="false" ht="24" hidden="false" customHeight="true" outlineLevel="0" collapsed="false">
      <c r="A14" s="204" t="s">
        <v>2219</v>
      </c>
      <c r="B14" s="204"/>
      <c r="C14" s="205" t="s">
        <v>2220</v>
      </c>
      <c r="D14" s="206" t="s">
        <v>2221</v>
      </c>
      <c r="E14" s="206"/>
      <c r="F14" s="206"/>
      <c r="G14" s="206"/>
      <c r="H14" s="206"/>
    </row>
    <row r="15" customFormat="false" ht="24" hidden="false" customHeight="true" outlineLevel="0" collapsed="false">
      <c r="A15" s="207" t="s">
        <v>2222</v>
      </c>
      <c r="B15" s="207"/>
      <c r="C15" s="208" t="s">
        <v>2223</v>
      </c>
      <c r="D15" s="209" t="s">
        <v>2224</v>
      </c>
      <c r="E15" s="209"/>
      <c r="F15" s="209"/>
      <c r="G15" s="209"/>
      <c r="H15" s="209"/>
    </row>
    <row r="16" customFormat="false" ht="24" hidden="false" customHeight="true" outlineLevel="0" collapsed="false">
      <c r="A16" s="210" t="s">
        <v>2225</v>
      </c>
      <c r="B16" s="210"/>
      <c r="C16" s="211" t="s">
        <v>2226</v>
      </c>
      <c r="D16" s="212" t="s">
        <v>2227</v>
      </c>
      <c r="E16" s="212"/>
      <c r="F16" s="212"/>
      <c r="G16" s="212"/>
      <c r="H16" s="212"/>
    </row>
  </sheetData>
  <mergeCells count="9">
    <mergeCell ref="A1:H1"/>
    <mergeCell ref="A2:H2"/>
    <mergeCell ref="A13:H13"/>
    <mergeCell ref="A14:B14"/>
    <mergeCell ref="D14:H14"/>
    <mergeCell ref="A15:B15"/>
    <mergeCell ref="D15:H15"/>
    <mergeCell ref="A16:B16"/>
    <mergeCell ref="D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5"/>
    <col collapsed="false" customWidth="true" hidden="false" outlineLevel="0" max="10" min="7" style="1" width="16"/>
    <col collapsed="false" customWidth="true" hidden="false" outlineLevel="0" max="14" min="12" style="1" width="18"/>
  </cols>
  <sheetData>
    <row r="1" customFormat="false" ht="27.75" hidden="false" customHeight="true" outlineLevel="0" collapsed="false">
      <c r="A1" s="3" t="s">
        <v>2228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3" customFormat="false" ht="15" hidden="false" customHeight="true" outlineLevel="0" collapsed="false">
      <c r="A3" s="213" t="s">
        <v>2229</v>
      </c>
      <c r="G3" s="213" t="s">
        <v>2230</v>
      </c>
      <c r="L3" s="213" t="s">
        <v>2231</v>
      </c>
    </row>
    <row r="4" customFormat="false" ht="15" hidden="false" customHeight="true" outlineLevel="0" collapsed="false">
      <c r="A4" s="64" t="s">
        <v>44</v>
      </c>
      <c r="B4" s="64" t="s">
        <v>1598</v>
      </c>
      <c r="C4" s="64" t="s">
        <v>1589</v>
      </c>
      <c r="D4" s="64" t="s">
        <v>1590</v>
      </c>
      <c r="E4" s="64" t="s">
        <v>1591</v>
      </c>
      <c r="G4" s="64" t="s">
        <v>2189</v>
      </c>
      <c r="H4" s="64" t="s">
        <v>1598</v>
      </c>
      <c r="I4" s="64" t="s">
        <v>1590</v>
      </c>
      <c r="J4" s="64" t="s">
        <v>1600</v>
      </c>
      <c r="L4" s="64" t="s">
        <v>76</v>
      </c>
      <c r="M4" s="64" t="s">
        <v>1590</v>
      </c>
      <c r="N4" s="64" t="s">
        <v>1591</v>
      </c>
    </row>
    <row r="5" customFormat="false" ht="15" hidden="false" customHeight="true" outlineLevel="0" collapsed="false">
      <c r="A5" s="75" t="s">
        <v>54</v>
      </c>
      <c r="B5" s="75" t="n">
        <v>34</v>
      </c>
      <c r="C5" s="75" t="n">
        <v>16</v>
      </c>
      <c r="D5" s="75" t="n">
        <v>6</v>
      </c>
      <c r="E5" s="111" t="n">
        <v>49150000</v>
      </c>
      <c r="G5" s="77" t="s">
        <v>92</v>
      </c>
      <c r="H5" s="75" t="n">
        <v>63</v>
      </c>
      <c r="I5" s="75" t="n">
        <v>8</v>
      </c>
      <c r="J5" s="75" t="s">
        <v>2063</v>
      </c>
      <c r="L5" s="77" t="s">
        <v>100</v>
      </c>
      <c r="M5" s="75" t="n">
        <v>11</v>
      </c>
      <c r="N5" s="111" t="n">
        <v>196640000</v>
      </c>
    </row>
    <row r="6" customFormat="false" ht="15" hidden="false" customHeight="true" outlineLevel="0" collapsed="false">
      <c r="A6" s="70" t="s">
        <v>55</v>
      </c>
      <c r="B6" s="70" t="n">
        <v>47</v>
      </c>
      <c r="C6" s="70" t="n">
        <v>30</v>
      </c>
      <c r="D6" s="70" t="n">
        <v>9</v>
      </c>
      <c r="E6" s="109" t="n">
        <v>76710000</v>
      </c>
      <c r="G6" s="72" t="s">
        <v>102</v>
      </c>
      <c r="H6" s="70" t="n">
        <v>66</v>
      </c>
      <c r="I6" s="70" t="n">
        <v>9</v>
      </c>
      <c r="J6" s="70" t="s">
        <v>2232</v>
      </c>
      <c r="L6" s="72" t="s">
        <v>186</v>
      </c>
      <c r="M6" s="70" t="n">
        <v>12</v>
      </c>
      <c r="N6" s="109" t="n">
        <v>138440000</v>
      </c>
    </row>
    <row r="7" customFormat="false" ht="15" hidden="false" customHeight="true" outlineLevel="0" collapsed="false">
      <c r="A7" s="75" t="s">
        <v>56</v>
      </c>
      <c r="B7" s="75" t="n">
        <v>46</v>
      </c>
      <c r="C7" s="75" t="n">
        <v>30</v>
      </c>
      <c r="D7" s="75" t="n">
        <v>8</v>
      </c>
      <c r="E7" s="111" t="n">
        <v>122950000</v>
      </c>
      <c r="G7" s="77" t="s">
        <v>111</v>
      </c>
      <c r="H7" s="75" t="n">
        <v>59</v>
      </c>
      <c r="I7" s="75" t="n">
        <v>14</v>
      </c>
      <c r="J7" s="75" t="s">
        <v>2103</v>
      </c>
      <c r="L7" s="77" t="s">
        <v>109</v>
      </c>
      <c r="M7" s="75" t="n">
        <v>11</v>
      </c>
      <c r="N7" s="111" t="n">
        <v>158120000</v>
      </c>
    </row>
    <row r="8" customFormat="false" ht="15" hidden="false" customHeight="true" outlineLevel="0" collapsed="false">
      <c r="A8" s="70" t="s">
        <v>57</v>
      </c>
      <c r="B8" s="70" t="n">
        <v>39</v>
      </c>
      <c r="C8" s="70" t="n">
        <v>21</v>
      </c>
      <c r="D8" s="70" t="n">
        <v>9</v>
      </c>
      <c r="E8" s="109" t="n">
        <v>81210000</v>
      </c>
      <c r="G8" s="72" t="s">
        <v>119</v>
      </c>
      <c r="H8" s="70" t="n">
        <v>87</v>
      </c>
      <c r="I8" s="70" t="n">
        <v>17</v>
      </c>
      <c r="J8" s="70" t="s">
        <v>2132</v>
      </c>
      <c r="L8" s="72" t="s">
        <v>195</v>
      </c>
      <c r="M8" s="70" t="n">
        <v>14</v>
      </c>
      <c r="N8" s="109" t="n">
        <v>146380000</v>
      </c>
    </row>
    <row r="9" customFormat="false" ht="15" hidden="false" customHeight="true" outlineLevel="0" collapsed="false">
      <c r="A9" s="75" t="s">
        <v>58</v>
      </c>
      <c r="B9" s="75" t="n">
        <v>39</v>
      </c>
      <c r="C9" s="75" t="n">
        <v>26</v>
      </c>
      <c r="D9" s="75" t="n">
        <v>8</v>
      </c>
      <c r="E9" s="111" t="n">
        <v>177450000</v>
      </c>
      <c r="G9" s="77" t="s">
        <v>85</v>
      </c>
      <c r="H9" s="75" t="n">
        <v>66</v>
      </c>
      <c r="I9" s="75" t="n">
        <v>15</v>
      </c>
      <c r="J9" s="75" t="s">
        <v>2233</v>
      </c>
      <c r="L9" s="77" t="s">
        <v>159</v>
      </c>
      <c r="M9" s="75" t="n">
        <v>14</v>
      </c>
      <c r="N9" s="111" t="n">
        <v>247810000</v>
      </c>
    </row>
    <row r="10" customFormat="false" ht="15" hidden="false" customHeight="true" outlineLevel="0" collapsed="false">
      <c r="A10" s="70" t="s">
        <v>59</v>
      </c>
      <c r="B10" s="70" t="n">
        <v>40</v>
      </c>
      <c r="C10" s="70" t="n">
        <v>17</v>
      </c>
      <c r="D10" s="70" t="n">
        <v>3</v>
      </c>
      <c r="E10" s="109" t="n">
        <v>103410000</v>
      </c>
      <c r="G10" s="72" t="s">
        <v>137</v>
      </c>
      <c r="H10" s="70" t="n">
        <v>95</v>
      </c>
      <c r="I10" s="70" t="n">
        <v>12</v>
      </c>
      <c r="J10" s="70" t="s">
        <v>2070</v>
      </c>
      <c r="L10" s="72" t="s">
        <v>130</v>
      </c>
      <c r="M10" s="70" t="n">
        <v>9</v>
      </c>
      <c r="N10" s="109" t="n">
        <v>128350000</v>
      </c>
    </row>
    <row r="11" customFormat="false" ht="15" hidden="false" customHeight="true" outlineLevel="0" collapsed="false">
      <c r="A11" s="75" t="s">
        <v>60</v>
      </c>
      <c r="B11" s="75" t="n">
        <v>48</v>
      </c>
      <c r="C11" s="75" t="n">
        <v>26</v>
      </c>
      <c r="D11" s="75" t="n">
        <v>7</v>
      </c>
      <c r="E11" s="111" t="n">
        <v>33810000</v>
      </c>
      <c r="G11" s="77" t="s">
        <v>160</v>
      </c>
      <c r="H11" s="75" t="n">
        <v>64</v>
      </c>
      <c r="I11" s="75" t="n">
        <v>10</v>
      </c>
      <c r="J11" s="75" t="s">
        <v>2234</v>
      </c>
      <c r="L11" s="77" t="s">
        <v>90</v>
      </c>
      <c r="M11" s="75" t="n">
        <v>6</v>
      </c>
      <c r="N11" s="111" t="n">
        <v>89880000</v>
      </c>
    </row>
    <row r="12" customFormat="false" ht="15" hidden="false" customHeight="true" outlineLevel="0" collapsed="false">
      <c r="A12" s="70" t="s">
        <v>61</v>
      </c>
      <c r="B12" s="70" t="n">
        <v>52</v>
      </c>
      <c r="C12" s="70" t="n">
        <v>23</v>
      </c>
      <c r="D12" s="70" t="n">
        <v>10</v>
      </c>
      <c r="E12" s="109" t="n">
        <v>70270000</v>
      </c>
      <c r="L12" s="72" t="s">
        <v>166</v>
      </c>
      <c r="M12" s="70" t="n">
        <v>8</v>
      </c>
      <c r="N12" s="109" t="n">
        <v>121020000</v>
      </c>
    </row>
    <row r="13" customFormat="false" ht="15" hidden="false" customHeight="true" outlineLevel="0" collapsed="false">
      <c r="A13" s="75" t="s">
        <v>62</v>
      </c>
      <c r="B13" s="75" t="n">
        <v>43</v>
      </c>
      <c r="C13" s="75" t="n">
        <v>23</v>
      </c>
      <c r="D13" s="75" t="n">
        <v>7</v>
      </c>
      <c r="E13" s="111" t="n">
        <v>86560000</v>
      </c>
    </row>
    <row r="14" customFormat="false" ht="15" hidden="false" customHeight="true" outlineLevel="0" collapsed="false">
      <c r="A14" s="70" t="s">
        <v>63</v>
      </c>
      <c r="B14" s="70" t="n">
        <v>56</v>
      </c>
      <c r="C14" s="70" t="n">
        <v>38</v>
      </c>
      <c r="D14" s="70" t="n">
        <v>9</v>
      </c>
      <c r="E14" s="109" t="n">
        <v>149770000</v>
      </c>
    </row>
    <row r="15" customFormat="false" ht="15" hidden="false" customHeight="true" outlineLevel="0" collapsed="false">
      <c r="A15" s="75" t="s">
        <v>64</v>
      </c>
      <c r="B15" s="75" t="n">
        <v>44</v>
      </c>
      <c r="C15" s="75" t="n">
        <v>25</v>
      </c>
      <c r="D15" s="75" t="n">
        <v>7</v>
      </c>
      <c r="E15" s="111" t="n">
        <v>136090000</v>
      </c>
    </row>
    <row r="16" customFormat="false" ht="15" hidden="false" customHeight="true" outlineLevel="0" collapsed="false">
      <c r="A16" s="70" t="s">
        <v>65</v>
      </c>
      <c r="B16" s="70" t="n">
        <v>12</v>
      </c>
      <c r="C16" s="70" t="n">
        <v>6</v>
      </c>
      <c r="D16" s="70" t="n">
        <v>2</v>
      </c>
      <c r="E16" s="109" t="n">
        <v>139260000</v>
      </c>
    </row>
    <row r="19" customFormat="false" ht="15" hidden="false" customHeight="true" outlineLevel="0" collapsed="false">
      <c r="A19" s="213" t="s">
        <v>2235</v>
      </c>
      <c r="G19" s="213" t="s">
        <v>2236</v>
      </c>
    </row>
    <row r="20" customFormat="false" ht="15" hidden="false" customHeight="true" outlineLevel="0" collapsed="false">
      <c r="A20" s="64" t="s">
        <v>2237</v>
      </c>
      <c r="B20" s="64" t="s">
        <v>2238</v>
      </c>
      <c r="C20" s="64" t="s">
        <v>2239</v>
      </c>
      <c r="G20" s="64" t="s">
        <v>1580</v>
      </c>
      <c r="H20" s="64" t="s">
        <v>1590</v>
      </c>
      <c r="I20" s="64" t="s">
        <v>1591</v>
      </c>
    </row>
    <row r="21" customFormat="false" ht="15" hidden="false" customHeight="true" outlineLevel="0" collapsed="false">
      <c r="A21" s="77" t="s">
        <v>120</v>
      </c>
      <c r="B21" s="75" t="n">
        <v>74</v>
      </c>
      <c r="C21" s="75" t="s">
        <v>2240</v>
      </c>
      <c r="G21" s="77" t="s">
        <v>124</v>
      </c>
      <c r="H21" s="75" t="n">
        <v>14</v>
      </c>
      <c r="I21" s="111" t="n">
        <v>188760000</v>
      </c>
    </row>
    <row r="22" customFormat="false" ht="15" hidden="false" customHeight="true" outlineLevel="0" collapsed="false">
      <c r="A22" s="72" t="s">
        <v>104</v>
      </c>
      <c r="B22" s="70" t="n">
        <v>98</v>
      </c>
      <c r="C22" s="70" t="s">
        <v>2241</v>
      </c>
      <c r="G22" s="72" t="s">
        <v>209</v>
      </c>
      <c r="H22" s="70" t="n">
        <v>14</v>
      </c>
      <c r="I22" s="109" t="n">
        <v>179070000</v>
      </c>
    </row>
    <row r="23" customFormat="false" ht="15" hidden="false" customHeight="true" outlineLevel="0" collapsed="false">
      <c r="A23" s="77" t="s">
        <v>143</v>
      </c>
      <c r="B23" s="75" t="n">
        <v>61</v>
      </c>
      <c r="C23" s="75" t="s">
        <v>2242</v>
      </c>
      <c r="G23" s="77" t="s">
        <v>191</v>
      </c>
      <c r="H23" s="75" t="n">
        <v>4</v>
      </c>
      <c r="I23" s="111" t="n">
        <v>88960000</v>
      </c>
    </row>
    <row r="24" customFormat="false" ht="15" hidden="false" customHeight="true" outlineLevel="0" collapsed="false">
      <c r="A24" s="72" t="s">
        <v>161</v>
      </c>
      <c r="B24" s="70" t="n">
        <v>70</v>
      </c>
      <c r="C24" s="70" t="s">
        <v>2243</v>
      </c>
      <c r="G24" s="72" t="s">
        <v>112</v>
      </c>
      <c r="H24" s="70" t="n">
        <v>12</v>
      </c>
      <c r="I24" s="109" t="n">
        <v>174890000</v>
      </c>
    </row>
    <row r="25" customFormat="false" ht="15" hidden="false" customHeight="true" outlineLevel="0" collapsed="false">
      <c r="A25" s="77" t="s">
        <v>94</v>
      </c>
      <c r="B25" s="75" t="n">
        <v>65</v>
      </c>
      <c r="C25" s="75" t="s">
        <v>2244</v>
      </c>
      <c r="G25" s="77" t="s">
        <v>170</v>
      </c>
      <c r="H25" s="75" t="n">
        <v>6</v>
      </c>
      <c r="I25" s="111" t="n">
        <v>70510000</v>
      </c>
    </row>
    <row r="26" customFormat="false" ht="15" hidden="false" customHeight="true" outlineLevel="0" collapsed="false">
      <c r="A26" s="72" t="s">
        <v>125</v>
      </c>
      <c r="B26" s="70" t="n">
        <v>85</v>
      </c>
      <c r="C26" s="70" t="s">
        <v>14</v>
      </c>
      <c r="G26" s="72" t="s">
        <v>93</v>
      </c>
      <c r="H26" s="70" t="n">
        <v>11</v>
      </c>
      <c r="I26" s="109" t="n">
        <v>181730000</v>
      </c>
    </row>
    <row r="27" customFormat="false" ht="15" hidden="false" customHeight="true" outlineLevel="0" collapsed="false">
      <c r="A27" s="77" t="s">
        <v>205</v>
      </c>
      <c r="B27" s="75" t="n">
        <v>47</v>
      </c>
      <c r="C27" s="75" t="s">
        <v>2245</v>
      </c>
      <c r="G27" s="77" t="s">
        <v>178</v>
      </c>
      <c r="H27" s="75" t="n">
        <v>6</v>
      </c>
      <c r="I27" s="111" t="n">
        <v>85990000</v>
      </c>
    </row>
    <row r="28" customFormat="false" ht="15" hidden="false" customHeight="true" outlineLevel="0" collapsed="false">
      <c r="A28" s="214" t="s">
        <v>2246</v>
      </c>
      <c r="G28" s="72" t="s">
        <v>103</v>
      </c>
      <c r="H28" s="70" t="n">
        <v>7</v>
      </c>
      <c r="I28" s="109" t="n">
        <v>132620000</v>
      </c>
    </row>
    <row r="29" customFormat="false" ht="15" hidden="false" customHeight="true" outlineLevel="0" collapsed="false">
      <c r="G29" s="77" t="s">
        <v>148</v>
      </c>
      <c r="H29" s="75" t="n">
        <v>7</v>
      </c>
      <c r="I29" s="111" t="n">
        <v>81280000</v>
      </c>
    </row>
    <row r="30" customFormat="false" ht="15" hidden="false" customHeight="true" outlineLevel="0" collapsed="false">
      <c r="G30" s="72" t="s">
        <v>142</v>
      </c>
      <c r="H30" s="70" t="n">
        <v>4</v>
      </c>
      <c r="I30" s="109" t="n">
        <v>42830000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2026-06-22T07:31:54Z</dcterms:created>
  <dc:creator>openpyxl</dc:creator>
  <dc:description/>
  <dc:language>en-US</dc:language>
  <cp:lastModifiedBy/>
  <dcterms:modified xsi:type="dcterms:W3CDTF">2026-06-28T12:54:26Z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